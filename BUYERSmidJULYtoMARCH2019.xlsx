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OneDrive\Desktop\ListSource\"/>
    </mc:Choice>
  </mc:AlternateContent>
  <xr:revisionPtr revIDLastSave="47" documentId="8_{90B48B48-7058-4780-BC44-25298D6EB7EF}" xr6:coauthVersionLast="40" xr6:coauthVersionMax="40" xr10:uidLastSave="{867B7756-1E51-4F7C-91E4-BAA7F87140AC}"/>
  <bookViews>
    <workbookView xWindow="-120" yWindow="-120" windowWidth="20730" windowHeight="11160" xr2:uid="{008B0E7E-04A7-4ED8-AF3D-83FC46B6C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G656" i="1" l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<sst xmlns="http://schemas.openxmlformats.org/spreadsheetml/2006/main" count="3282" uniqueCount="2140">
  <si>
    <t>OWNER 1 LABEL NAME</t>
  </si>
  <si>
    <t>Chance Olevia Llc</t>
  </si>
  <si>
    <t>Prime Area Properties Llc</t>
  </si>
  <si>
    <t>Dasan Realty Llc</t>
  </si>
  <si>
    <t>Laura Melo</t>
  </si>
  <si>
    <t>Clearview Park Llc</t>
  </si>
  <si>
    <t>Bark Investments Llc</t>
  </si>
  <si>
    <t>Adrian Kadas</t>
  </si>
  <si>
    <t>Thigiobalinv Llc</t>
  </si>
  <si>
    <t>Abdelhadi Bouziane</t>
  </si>
  <si>
    <t>Sheng M Chen</t>
  </si>
  <si>
    <t>Larry T Bradley</t>
  </si>
  <si>
    <t>Jessup Properties Llc</t>
  </si>
  <si>
    <t>North Florida Mgt &amp; Resto Llc</t>
  </si>
  <si>
    <t>Donald C Gilbert</t>
  </si>
  <si>
    <t>Empire Dawn Llc</t>
  </si>
  <si>
    <t>Oneisvi A Camacho</t>
  </si>
  <si>
    <t>Scott W Otto</t>
  </si>
  <si>
    <t>Kenneth P Weinstein</t>
  </si>
  <si>
    <t>Parvin Dr Llc</t>
  </si>
  <si>
    <t>Blue Pillar 5 Llc</t>
  </si>
  <si>
    <t>First National Properties Llc</t>
  </si>
  <si>
    <t>Bold City Investment Group Llc</t>
  </si>
  <si>
    <t>Celso A A Mejia</t>
  </si>
  <si>
    <t>Mnsf Ii W1 Llc</t>
  </si>
  <si>
    <t>Michael Richardson Llc</t>
  </si>
  <si>
    <t>North Coast Investments Llc</t>
  </si>
  <si>
    <t>Marcus W Noori</t>
  </si>
  <si>
    <t>Lantana Rentals Llc</t>
  </si>
  <si>
    <t>Wv Properties Llc</t>
  </si>
  <si>
    <t>Braden Burleson</t>
  </si>
  <si>
    <t>Lsb Fl Holdings Llc</t>
  </si>
  <si>
    <t>Loralee A Dreibus</t>
  </si>
  <si>
    <t>Robert J Wright</t>
  </si>
  <si>
    <t>Daniil Remigaylo</t>
  </si>
  <si>
    <t>Gregory A Memory</t>
  </si>
  <si>
    <t>Robert Candler</t>
  </si>
  <si>
    <t>Plank Parkland Llc</t>
  </si>
  <si>
    <t>Bryan K Holmes</t>
  </si>
  <si>
    <t>Jeffrey Hunter</t>
  </si>
  <si>
    <t>Springfield Jax El Llc</t>
  </si>
  <si>
    <t>Impact Investors 3 Llc</t>
  </si>
  <si>
    <t>Alkonman Llc</t>
  </si>
  <si>
    <t>Tinisha Lane</t>
  </si>
  <si>
    <t>Troy W Albers</t>
  </si>
  <si>
    <t>Tuan Nguyen</t>
  </si>
  <si>
    <t>Ask Us Capital Llc</t>
  </si>
  <si>
    <t>Yingzi Liu</t>
  </si>
  <si>
    <t>Iglesia De Dios Pentecostal Mo</t>
  </si>
  <si>
    <t>Matthew Remodeling Inc</t>
  </si>
  <si>
    <t>Jack Marku</t>
  </si>
  <si>
    <t>Blackwater Homes Llc</t>
  </si>
  <si>
    <t>Gloria V Santare</t>
  </si>
  <si>
    <t>Kevin Vera</t>
  </si>
  <si>
    <t>Ocwen Loan Svcs Llc</t>
  </si>
  <si>
    <t>Christopher Snow</t>
  </si>
  <si>
    <t>Axios Holdings Llc</t>
  </si>
  <si>
    <t>Bell Ventures Inc</t>
  </si>
  <si>
    <t>Firebird Sfe I Llc</t>
  </si>
  <si>
    <t>Chung W Yip</t>
  </si>
  <si>
    <t>Marijola Ahmetaj</t>
  </si>
  <si>
    <t>Elite Invs Of Kendall Llc</t>
  </si>
  <si>
    <t>Yasmid Supelano</t>
  </si>
  <si>
    <t>Ocwen Ln Servicing Llc</t>
  </si>
  <si>
    <t>Sfr Jv-1 Property Llc</t>
  </si>
  <si>
    <t>Dare Meade Llc</t>
  </si>
  <si>
    <t>Andrew Fraden</t>
  </si>
  <si>
    <t>Guilmar Llc</t>
  </si>
  <si>
    <t>Mks Homes Inc</t>
  </si>
  <si>
    <t>Home2enjoy Llc</t>
  </si>
  <si>
    <t>Az 5 Stars Real Estate Llc</t>
  </si>
  <si>
    <t>Walter E Tinsley</t>
  </si>
  <si>
    <t>Edward D Plunkett</t>
  </si>
  <si>
    <t>Flsk Invest Llc</t>
  </si>
  <si>
    <t>Paula D Sidwell</t>
  </si>
  <si>
    <t>Lp Real Estate Llc</t>
  </si>
  <si>
    <t>Rajmonda Gjondrekaj</t>
  </si>
  <si>
    <t>Cooper Homes Llc</t>
  </si>
  <si>
    <t>James A Richman</t>
  </si>
  <si>
    <t>Giro J Savino</t>
  </si>
  <si>
    <t>Burnett Homes Llc</t>
  </si>
  <si>
    <t>Rezart Daragjati</t>
  </si>
  <si>
    <t>Cheryl Bouchard</t>
  </si>
  <si>
    <t>Kh Real Estate Llc</t>
  </si>
  <si>
    <t>Willis Contractors Holdings Ll</t>
  </si>
  <si>
    <t>Michael Delaney</t>
  </si>
  <si>
    <t>April Beatty</t>
  </si>
  <si>
    <t>Jose L Pintor</t>
  </si>
  <si>
    <t>Royce Fung</t>
  </si>
  <si>
    <t>Keri A Davis</t>
  </si>
  <si>
    <t>Marc Pierre</t>
  </si>
  <si>
    <t>1084 Cherry Street Llc</t>
  </si>
  <si>
    <t>Razvan Saileanu</t>
  </si>
  <si>
    <t>5906 Inc</t>
  </si>
  <si>
    <t>Versailles Homes Llc</t>
  </si>
  <si>
    <t>1043 Seba Llc</t>
  </si>
  <si>
    <t>Mpps Properties Llc</t>
  </si>
  <si>
    <t>Jpgb Llc</t>
  </si>
  <si>
    <t>Rawls Land Ii Llc</t>
  </si>
  <si>
    <t>Femi Talabi</t>
  </si>
  <si>
    <t>Hoover Phx Llc</t>
  </si>
  <si>
    <t>Groundswell Properties Llc</t>
  </si>
  <si>
    <t>Valley Family Homes Llc</t>
  </si>
  <si>
    <t>Maxwell Act Llc</t>
  </si>
  <si>
    <t>Eastport East Inc</t>
  </si>
  <si>
    <t>Thomas Roper</t>
  </si>
  <si>
    <t>Owner 8 Llc</t>
  </si>
  <si>
    <t>Lazaro Morales</t>
  </si>
  <si>
    <t>Michael E Todd</t>
  </si>
  <si>
    <t>South Quarter Build Co Llc</t>
  </si>
  <si>
    <t>Erez Cohen</t>
  </si>
  <si>
    <t>Nielsen A De Sousa</t>
  </si>
  <si>
    <t>Sageone Group Llc</t>
  </si>
  <si>
    <t>David W Marti</t>
  </si>
  <si>
    <t>Gonzalo A Benavides</t>
  </si>
  <si>
    <t>Hoose Freddie 2 Llc</t>
  </si>
  <si>
    <t>Trust Property Investments Llc</t>
  </si>
  <si>
    <t>Christopher R Halter</t>
  </si>
  <si>
    <t>Joyce B Price</t>
  </si>
  <si>
    <t>Robert Fleckenstein</t>
  </si>
  <si>
    <t>Kn Ferguson Inc</t>
  </si>
  <si>
    <t>Jhslag Llc</t>
  </si>
  <si>
    <t>T &amp; C Investments Of Jax Llc</t>
  </si>
  <si>
    <t>Steve Salem</t>
  </si>
  <si>
    <t>Karla Heron</t>
  </si>
  <si>
    <t>Adams &amp; Cochran Properties Ltd</t>
  </si>
  <si>
    <t>Marcos Arguelles</t>
  </si>
  <si>
    <t>Promise Ents Llc</t>
  </si>
  <si>
    <t>Breeze Homes Llc</t>
  </si>
  <si>
    <t>Michael Comparato</t>
  </si>
  <si>
    <t>Raymond Williams</t>
  </si>
  <si>
    <t>Allison Cooke</t>
  </si>
  <si>
    <t>Alfonso J M Chavez</t>
  </si>
  <si>
    <t>Myrna S West</t>
  </si>
  <si>
    <t>Alex M Dayyeh</t>
  </si>
  <si>
    <t>Mm 29 Llc</t>
  </si>
  <si>
    <t>Atkinson Rental Llc</t>
  </si>
  <si>
    <t>Pacific Sfr Llc</t>
  </si>
  <si>
    <t>Casa Alomia Llc</t>
  </si>
  <si>
    <t>Marlon Bailey</t>
  </si>
  <si>
    <t>Rkd Dev Group Llc</t>
  </si>
  <si>
    <t>Grinnell More</t>
  </si>
  <si>
    <t>Larry Roberts</t>
  </si>
  <si>
    <t>Brittney Weisz-Brown</t>
  </si>
  <si>
    <t>Cheryl Chambers</t>
  </si>
  <si>
    <t>Samuel Heiney</t>
  </si>
  <si>
    <t>Thomas Gaskins</t>
  </si>
  <si>
    <t>Alan D Cottrill</t>
  </si>
  <si>
    <t>Luis Chacon</t>
  </si>
  <si>
    <t>G &amp; G Realty Llc</t>
  </si>
  <si>
    <t>Dannv P Griffin</t>
  </si>
  <si>
    <t>James Kemp</t>
  </si>
  <si>
    <t>Amys Affordable Homes Llc</t>
  </si>
  <si>
    <t>Riverhouse Properties Llc</t>
  </si>
  <si>
    <t>Trevty Investments Inc</t>
  </si>
  <si>
    <t>Merlos Construction Llc</t>
  </si>
  <si>
    <t>Z Portfolio Group Llc-972cornw</t>
  </si>
  <si>
    <t>Cox Properties Of Jacksonville</t>
  </si>
  <si>
    <t>Habitat For Humanity Of Jacksonvi</t>
  </si>
  <si>
    <t>Tripod United Llc</t>
  </si>
  <si>
    <t>Liszette Boston</t>
  </si>
  <si>
    <t>Ernst Ben Investments Llc</t>
  </si>
  <si>
    <t>Blackworth Capital 2 Llc</t>
  </si>
  <si>
    <t>Armalite Maiden Llc</t>
  </si>
  <si>
    <t>Henry A Brunelle</t>
  </si>
  <si>
    <t>Craig Wiedegreen</t>
  </si>
  <si>
    <t>William Schillinger</t>
  </si>
  <si>
    <t>Northwest Jacksonville Cmnty D</t>
  </si>
  <si>
    <t>Arvm 5 Llc</t>
  </si>
  <si>
    <t>Trc Dunn Llc</t>
  </si>
  <si>
    <t>Jalesh Llc</t>
  </si>
  <si>
    <t>Let It Be Realty Llc</t>
  </si>
  <si>
    <t>2600 Riverport Llc</t>
  </si>
  <si>
    <t>Rana Jahjah</t>
  </si>
  <si>
    <t>Isidore Andujar</t>
  </si>
  <si>
    <t>Michael J Tette</t>
  </si>
  <si>
    <t>Yamasa Co Ltd</t>
  </si>
  <si>
    <t>Rommel Cablayan</t>
  </si>
  <si>
    <t>Norborane Llc</t>
  </si>
  <si>
    <t>Stephen L Duncan</t>
  </si>
  <si>
    <t>Asher Rei Llc</t>
  </si>
  <si>
    <t>Taleo Investment Group Llc</t>
  </si>
  <si>
    <t>Dana G Bradford</t>
  </si>
  <si>
    <t>Lady &amp; Son Alpha Llc</t>
  </si>
  <si>
    <t>Wisut Nataguatung</t>
  </si>
  <si>
    <t>Chandara S Kim</t>
  </si>
  <si>
    <t>John E Graham</t>
  </si>
  <si>
    <t>Ee Real Estate Partners Llc</t>
  </si>
  <si>
    <t>Aras Investment Llc</t>
  </si>
  <si>
    <t>Island Property Hldggs Grp Llc</t>
  </si>
  <si>
    <t>Jax Freedom Home Buyers Llc</t>
  </si>
  <si>
    <t>Montavis Harld</t>
  </si>
  <si>
    <t>Tina Ritchotte</t>
  </si>
  <si>
    <t>Automaxinvest Llc</t>
  </si>
  <si>
    <t>Shelly Santoro</t>
  </si>
  <si>
    <t>Ashley Jensen</t>
  </si>
  <si>
    <t>Janice Graham</t>
  </si>
  <si>
    <t>Vp Management Llc</t>
  </si>
  <si>
    <t>Saad Zaheer</t>
  </si>
  <si>
    <t>Darabi One Investment Llc</t>
  </si>
  <si>
    <t>Jax Flippers Llc</t>
  </si>
  <si>
    <t>Ana Bailey</t>
  </si>
  <si>
    <t>Audelina S Blanco</t>
  </si>
  <si>
    <t>Zumar Investment Llc</t>
  </si>
  <si>
    <t>James V Kennedy</t>
  </si>
  <si>
    <t>Joseph P Ryan</t>
  </si>
  <si>
    <t>Ramon Martinez</t>
  </si>
  <si>
    <t>Edgar Z Whelan</t>
  </si>
  <si>
    <t>Hth Houses Llc</t>
  </si>
  <si>
    <t>Claudio De Viega</t>
  </si>
  <si>
    <t>Prosperity Invs Llc</t>
  </si>
  <si>
    <t>Don W Dopps</t>
  </si>
  <si>
    <t>American Contractors &amp; Dev Inc</t>
  </si>
  <si>
    <t>Ruwaida A Rass</t>
  </si>
  <si>
    <t>Lennar Homes Llc</t>
  </si>
  <si>
    <t>Dgfl2 Llc</t>
  </si>
  <si>
    <t>Elvis Lukaj</t>
  </si>
  <si>
    <t>K &amp; A Generation Prop Llc</t>
  </si>
  <si>
    <t>Esteffany M Perez</t>
  </si>
  <si>
    <t>Vernon D Williams</t>
  </si>
  <si>
    <t>Richard W Mooers</t>
  </si>
  <si>
    <t>Fun In The Sun Realty Llc</t>
  </si>
  <si>
    <t>Bisono Fernandez</t>
  </si>
  <si>
    <t>Aleksandr Aparnev</t>
  </si>
  <si>
    <t>Bryan Ingersoll</t>
  </si>
  <si>
    <t>Jva Il Llc</t>
  </si>
  <si>
    <t>Robert L Mcclure</t>
  </si>
  <si>
    <t>Velika Cupi</t>
  </si>
  <si>
    <t>Collins Builders Group Llc</t>
  </si>
  <si>
    <t>Frank Tanji</t>
  </si>
  <si>
    <t>E Service Inc</t>
  </si>
  <si>
    <t>Marcel P Vercoutre</t>
  </si>
  <si>
    <t>Rory English</t>
  </si>
  <si>
    <t>Yong Zhao</t>
  </si>
  <si>
    <t>Alberta Charles-Alliance</t>
  </si>
  <si>
    <t>Thomas D Morris</t>
  </si>
  <si>
    <t>Eas Sensorsense Inc</t>
  </si>
  <si>
    <t>Brenda Pryce</t>
  </si>
  <si>
    <t>N H Le Thuy</t>
  </si>
  <si>
    <t>Dbbt Capital Llc</t>
  </si>
  <si>
    <t>Robert M Assi</t>
  </si>
  <si>
    <t>Alexander Kalenichenko</t>
  </si>
  <si>
    <t>T &amp; T Capital Holdings Inc</t>
  </si>
  <si>
    <t>Tara S Campioni</t>
  </si>
  <si>
    <t>Long Nguyen</t>
  </si>
  <si>
    <t>Stephane R A Jeannin</t>
  </si>
  <si>
    <t>Carey Kearney</t>
  </si>
  <si>
    <t>Stowmarket Holdings Llc</t>
  </si>
  <si>
    <t>Geraldine Sehlueter</t>
  </si>
  <si>
    <t>First Coast Home Investors Inc</t>
  </si>
  <si>
    <t>Mark Valverde</t>
  </si>
  <si>
    <t>6101 Colfax Ave Llc</t>
  </si>
  <si>
    <t>Brown &amp; Williams Llc</t>
  </si>
  <si>
    <t>Buy Buddies Llc</t>
  </si>
  <si>
    <t>American Classic Homes Llc</t>
  </si>
  <si>
    <t>James A Linn</t>
  </si>
  <si>
    <t>R &amp; M A Team Llc</t>
  </si>
  <si>
    <t>John Mills</t>
  </si>
  <si>
    <t>Thaad Perez-Grant</t>
  </si>
  <si>
    <t>Richmond American Hms Of Florida</t>
  </si>
  <si>
    <t>Flamingo R &amp; M Llc</t>
  </si>
  <si>
    <t>Cesar M Tavarez</t>
  </si>
  <si>
    <t>Carolina B Rivero</t>
  </si>
  <si>
    <t>Grantor &amp; M &amp; M Prop Inv Grp I</t>
  </si>
  <si>
    <t>Bold Sky Properties Llc</t>
  </si>
  <si>
    <t>Tyler Butler</t>
  </si>
  <si>
    <t>Canton Mill House Partners Llc</t>
  </si>
  <si>
    <t>Rhpt Invs Llc</t>
  </si>
  <si>
    <t>Storto Tarr House Invs Llc</t>
  </si>
  <si>
    <t>Ryan K Smith</t>
  </si>
  <si>
    <t>Ah4r Properties Llc</t>
  </si>
  <si>
    <t>Diane E Staub</t>
  </si>
  <si>
    <t>Raymond Kimball</t>
  </si>
  <si>
    <t>Ahci 2017 Llc</t>
  </si>
  <si>
    <t>Lance P Bartholomew</t>
  </si>
  <si>
    <t>Hishyar Ismail</t>
  </si>
  <si>
    <t>Sui C Rowe</t>
  </si>
  <si>
    <t>D West Ents Llc</t>
  </si>
  <si>
    <t>Felix N Espinoza</t>
  </si>
  <si>
    <t>Kelly D Lucas</t>
  </si>
  <si>
    <t>Cerberus Sfr Holdings Ii Lp</t>
  </si>
  <si>
    <t>Abdul Mannan</t>
  </si>
  <si>
    <t>Miguel Lojano</t>
  </si>
  <si>
    <t>Eddy Fontana</t>
  </si>
  <si>
    <t>Charles Yeager</t>
  </si>
  <si>
    <t>Nareth Sin</t>
  </si>
  <si>
    <t>Randy Taylor</t>
  </si>
  <si>
    <t>Strongs Wood Works Llc</t>
  </si>
  <si>
    <t>Laurence P Peloquin</t>
  </si>
  <si>
    <t>Mab1 Llc</t>
  </si>
  <si>
    <t>Roy Christoferson</t>
  </si>
  <si>
    <t>Jcn Universal Inc</t>
  </si>
  <si>
    <t>Clifton Hiebsch</t>
  </si>
  <si>
    <t>Brian S Kroll</t>
  </si>
  <si>
    <t>James F Amerault</t>
  </si>
  <si>
    <t>265 E 47th Street Llc</t>
  </si>
  <si>
    <t>Buch Capital Llc</t>
  </si>
  <si>
    <t>North Fl Prop Inv Inc</t>
  </si>
  <si>
    <t>Engage Investments Llc</t>
  </si>
  <si>
    <t>Real Deal Jacksonville Llc</t>
  </si>
  <si>
    <t>Gramercy Union Llc</t>
  </si>
  <si>
    <t>Keystone Properties Llc</t>
  </si>
  <si>
    <t>Jax Lands Llc</t>
  </si>
  <si>
    <t>Cicero Home Sells Llc</t>
  </si>
  <si>
    <t>Marili M Guerrero</t>
  </si>
  <si>
    <t>Hulison Llc</t>
  </si>
  <si>
    <t>Taylor Matthews Properties Llc</t>
  </si>
  <si>
    <t>Richard Z Bragdon</t>
  </si>
  <si>
    <t>Nikhil Shanbhag</t>
  </si>
  <si>
    <t>Nils Dika</t>
  </si>
  <si>
    <t>Charles Hotaling</t>
  </si>
  <si>
    <t>Nahuel P Lista</t>
  </si>
  <si>
    <t>S &amp; C Rental Properties Llc</t>
  </si>
  <si>
    <t>Showcase Properties Llc</t>
  </si>
  <si>
    <t>Albina Doci</t>
  </si>
  <si>
    <t>Snug Harbor Holdings Llc</t>
  </si>
  <si>
    <t>Concepts Iii Inv Grp Llc</t>
  </si>
  <si>
    <t>Chester Clements</t>
  </si>
  <si>
    <t>Duval Home Buyers Llc</t>
  </si>
  <si>
    <t>Property Owner 8 Llc</t>
  </si>
  <si>
    <t>Rongdong Wang</t>
  </si>
  <si>
    <t>Lesley N Sholl</t>
  </si>
  <si>
    <t>Ryan American Investment Llc</t>
  </si>
  <si>
    <t>Edward Martin</t>
  </si>
  <si>
    <t>R &amp; J Properties &amp; Construct Llc</t>
  </si>
  <si>
    <t>Gregory J Lecain</t>
  </si>
  <si>
    <t>Roland Shkembi</t>
  </si>
  <si>
    <t>Juan M Cruz</t>
  </si>
  <si>
    <t>Suong Nguyen</t>
  </si>
  <si>
    <t>Thomas Gainey</t>
  </si>
  <si>
    <t>Mitpicks Llc</t>
  </si>
  <si>
    <t>Cerkrus Sfr Hldg Ii Lp</t>
  </si>
  <si>
    <t>Affordable Quality Floors &amp; Mo</t>
  </si>
  <si>
    <t>Av &amp; Ar Invesments Llc</t>
  </si>
  <si>
    <t>Alberto Silva</t>
  </si>
  <si>
    <t>Nikol Antipin</t>
  </si>
  <si>
    <t>7944 India Ave Llc</t>
  </si>
  <si>
    <t>Barton R Lori J Chelf</t>
  </si>
  <si>
    <t>Sean M Mckendree</t>
  </si>
  <si>
    <t>Restore Investment Group Llc</t>
  </si>
  <si>
    <t>R &amp; R Investment Props Of Jax Llc</t>
  </si>
  <si>
    <t>Masood Mehmood</t>
  </si>
  <si>
    <t>Lighthouse Dev Corp</t>
  </si>
  <si>
    <t>Percy Oaks Partners Llc</t>
  </si>
  <si>
    <t>E M J B Preferred Prop Llc</t>
  </si>
  <si>
    <t>Brett K Angell</t>
  </si>
  <si>
    <t>Steven Salem</t>
  </si>
  <si>
    <t>Alko Investment Llc</t>
  </si>
  <si>
    <t>Artur Prifti</t>
  </si>
  <si>
    <t>Lauren E Sharp</t>
  </si>
  <si>
    <t>Sylvia C Buie</t>
  </si>
  <si>
    <t>Nser 1 Llc</t>
  </si>
  <si>
    <t>J Cain Holdings Llc</t>
  </si>
  <si>
    <t>Mandarin Mgmt Systems Inc</t>
  </si>
  <si>
    <t>Gorilla Capital Fl 1001 Llc</t>
  </si>
  <si>
    <t>Robert C Boyle</t>
  </si>
  <si>
    <t>Heather D Cumberland</t>
  </si>
  <si>
    <t>Coastline Real Estate Solu Llc</t>
  </si>
  <si>
    <t>Westwind Real Estate Invs Llc</t>
  </si>
  <si>
    <t>Constructora Javier Cruz De Pr</t>
  </si>
  <si>
    <t>Raymond M Tolen</t>
  </si>
  <si>
    <t>Joseph R Preiser</t>
  </si>
  <si>
    <t>River City Land Holdings Llc</t>
  </si>
  <si>
    <t>Pivot Rei Holding T1 Llc</t>
  </si>
  <si>
    <t>Cathie C Robinson</t>
  </si>
  <si>
    <t>Ivy League Services Llc</t>
  </si>
  <si>
    <t>Laurentiu Georgescu</t>
  </si>
  <si>
    <t>Raul Solis</t>
  </si>
  <si>
    <t>Scattered Pines Llc</t>
  </si>
  <si>
    <t>Christopher Greene</t>
  </si>
  <si>
    <t>Richard A Sands</t>
  </si>
  <si>
    <t>Cheyntarie Y Washington</t>
  </si>
  <si>
    <t>Edap Investments Llc</t>
  </si>
  <si>
    <t>Ronald A Brown</t>
  </si>
  <si>
    <t>Scioto Properties Sp-16 Llc</t>
  </si>
  <si>
    <t>Marc White</t>
  </si>
  <si>
    <t>Plan F Realty Llc</t>
  </si>
  <si>
    <t>A-Frame West Coast Llc</t>
  </si>
  <si>
    <t>Broad Homes Llc</t>
  </si>
  <si>
    <t>Michael Aston</t>
  </si>
  <si>
    <t>Sotiraq Shanini</t>
  </si>
  <si>
    <t>Roy B Anat</t>
  </si>
  <si>
    <t>Carlos Petty</t>
  </si>
  <si>
    <t>Jon H Ladenlieim</t>
  </si>
  <si>
    <t>Jadie R Alton</t>
  </si>
  <si>
    <t>Daren Wagner</t>
  </si>
  <si>
    <t>Jose J Deschamps</t>
  </si>
  <si>
    <t>Kb Total Home Solutions Llc</t>
  </si>
  <si>
    <t>Ah4r Properties Two Llc</t>
  </si>
  <si>
    <t>Donald R Hitchcock</t>
  </si>
  <si>
    <t>Travis Moss</t>
  </si>
  <si>
    <t>Bfr Investments De Llc</t>
  </si>
  <si>
    <t>Rene Luigla</t>
  </si>
  <si>
    <t>Keith Kirker</t>
  </si>
  <si>
    <t>Timothy C Beasley</t>
  </si>
  <si>
    <t>Sage Housing Llc</t>
  </si>
  <si>
    <t>Darwin Martinez</t>
  </si>
  <si>
    <t>Southern Impression Homes Llc</t>
  </si>
  <si>
    <t>Christopher Shanklin</t>
  </si>
  <si>
    <t>Robert S Long</t>
  </si>
  <si>
    <t>Ek Real Estate Services Of Ny Llc</t>
  </si>
  <si>
    <t>Shamaeel Achikzay</t>
  </si>
  <si>
    <t>New Lifestyles Llc</t>
  </si>
  <si>
    <t>Salt Air Homes Inc</t>
  </si>
  <si>
    <t>Patricia Guinn</t>
  </si>
  <si>
    <t>Aqua Land Holding Llc</t>
  </si>
  <si>
    <t>Tbnj Llc</t>
  </si>
  <si>
    <t>Silbar Properties Llc</t>
  </si>
  <si>
    <t>Florida Real St Comnty Dev Llc</t>
  </si>
  <si>
    <t>James E Gaff</t>
  </si>
  <si>
    <t>Michael B Stout</t>
  </si>
  <si>
    <t>Star Lm Group Inc</t>
  </si>
  <si>
    <t>Sandra Boatwright</t>
  </si>
  <si>
    <t>Anthony Rannazzisi</t>
  </si>
  <si>
    <t>Real Estate Pros Of N Florida Llc</t>
  </si>
  <si>
    <t>Acw Holdings Inc</t>
  </si>
  <si>
    <t>Venilson L Silva</t>
  </si>
  <si>
    <t>Epic Redevelopers Llc</t>
  </si>
  <si>
    <t>Peachtree Dev Of Atlanta Llc</t>
  </si>
  <si>
    <t>Justin Crumbley</t>
  </si>
  <si>
    <t>Rayanna Scott</t>
  </si>
  <si>
    <t>Sonel Soulouque</t>
  </si>
  <si>
    <t>Gary L Burden</t>
  </si>
  <si>
    <t>Mikush Holdings Llc</t>
  </si>
  <si>
    <t>2nd Llc</t>
  </si>
  <si>
    <t>Asadullah Zarabi</t>
  </si>
  <si>
    <t>Opendoor Property N Llc</t>
  </si>
  <si>
    <t>Wojciech M Bil</t>
  </si>
  <si>
    <t>Maria A L L Whittington</t>
  </si>
  <si>
    <t>Hp Florida I Llc</t>
  </si>
  <si>
    <t>Premier Custom Homes Llc</t>
  </si>
  <si>
    <t>Clarence C Fears</t>
  </si>
  <si>
    <t>New Creations Realty Llc</t>
  </si>
  <si>
    <t>John B Chapman Llc</t>
  </si>
  <si>
    <t>Dan Fraiman</t>
  </si>
  <si>
    <t>Kinder F Violeta</t>
  </si>
  <si>
    <t>El Espiritu De San Luis Llc</t>
  </si>
  <si>
    <t>Derek C Trucks</t>
  </si>
  <si>
    <t>Christopher Richardson</t>
  </si>
  <si>
    <t>Cheri I Barren</t>
  </si>
  <si>
    <t>Southland Properties Llc</t>
  </si>
  <si>
    <t>Joseph E Albert</t>
  </si>
  <si>
    <t>Ariel Zvuluni</t>
  </si>
  <si>
    <t>Balde Floride Llc</t>
  </si>
  <si>
    <t>1104 Bqca Grande Llc</t>
  </si>
  <si>
    <t>Wendy Y Tovar</t>
  </si>
  <si>
    <t>Thomas R House</t>
  </si>
  <si>
    <t>Sfattal Llc</t>
  </si>
  <si>
    <t>David D Lutgens</t>
  </si>
  <si>
    <t>Nt &amp; W Realty Investments Llc</t>
  </si>
  <si>
    <t>Polo Jax Investments Llc</t>
  </si>
  <si>
    <t>Kevin Pearce</t>
  </si>
  <si>
    <t>Barbara Sawyer</t>
  </si>
  <si>
    <t>John T Boutwell</t>
  </si>
  <si>
    <t>Andrey Kostine</t>
  </si>
  <si>
    <t>Debora Harris</t>
  </si>
  <si>
    <t>Marvin Ross</t>
  </si>
  <si>
    <t>Seth Kimball</t>
  </si>
  <si>
    <t>Luis Moreno</t>
  </si>
  <si>
    <t>Toucan Properties Llc</t>
  </si>
  <si>
    <t>Bull Thumb Llc</t>
  </si>
  <si>
    <t>Sevalex Inc</t>
  </si>
  <si>
    <t>Tony H Duong</t>
  </si>
  <si>
    <t>Bonnie Barnert</t>
  </si>
  <si>
    <t>Oliver M Fernandes</t>
  </si>
  <si>
    <t>Alvaro O Gonzalez</t>
  </si>
  <si>
    <t>Vvml Investment Llc</t>
  </si>
  <si>
    <t>Vault 1968 Management Llc</t>
  </si>
  <si>
    <t>Angel R A Ibarra</t>
  </si>
  <si>
    <t>Q Five Investments Llc</t>
  </si>
  <si>
    <t>Richard P Silvia</t>
  </si>
  <si>
    <t>C Brian Harbin</t>
  </si>
  <si>
    <t>Little Bird Enterprises Llc</t>
  </si>
  <si>
    <t>Tammi Carty</t>
  </si>
  <si>
    <t>Andis Korreshi</t>
  </si>
  <si>
    <t>Apollonia Construction Inc</t>
  </si>
  <si>
    <t>Beacon House Llc</t>
  </si>
  <si>
    <t>Clotterrealty Group Llc</t>
  </si>
  <si>
    <t>Connie L Spiilers</t>
  </si>
  <si>
    <t>Jason Ryals</t>
  </si>
  <si>
    <t>Kenneth W Harrison</t>
  </si>
  <si>
    <t>Irina P Khiger</t>
  </si>
  <si>
    <t>Salty Cactus Llc</t>
  </si>
  <si>
    <t>Stone Edge Properties Inc</t>
  </si>
  <si>
    <t>Lupiteam Us Investments Llc</t>
  </si>
  <si>
    <t>G Harris Ents</t>
  </si>
  <si>
    <t>Jacqueline O Mcwilliams</t>
  </si>
  <si>
    <t>Mary B Fusinatto</t>
  </si>
  <si>
    <t>Shelly P Greene</t>
  </si>
  <si>
    <t>Minzon Ents Llc</t>
  </si>
  <si>
    <t>Apec1234 Llc</t>
  </si>
  <si>
    <t>Pa C Property Brothers Llc</t>
  </si>
  <si>
    <t>Duval Construction Inc</t>
  </si>
  <si>
    <t>Baf 1 Llc</t>
  </si>
  <si>
    <t>Thomas Senecal</t>
  </si>
  <si>
    <t>Zap-It Pest &amp; Lawn Inc</t>
  </si>
  <si>
    <t>Franklin Suarez</t>
  </si>
  <si>
    <t>Cohiue Llc</t>
  </si>
  <si>
    <t>Tel Aviv Florida Llc</t>
  </si>
  <si>
    <t>James S Szerba</t>
  </si>
  <si>
    <t>Vista Pointe Investments Llc</t>
  </si>
  <si>
    <t>Leonat Doci</t>
  </si>
  <si>
    <t>Grigor Grigoryan</t>
  </si>
  <si>
    <t>Starfish Group Properties Inc</t>
  </si>
  <si>
    <t>Robert W Lytle</t>
  </si>
  <si>
    <t>Ethel M Broadnax</t>
  </si>
  <si>
    <t>Galya Smgo</t>
  </si>
  <si>
    <t>Alan Levinson</t>
  </si>
  <si>
    <t>Daniel Panzo</t>
  </si>
  <si>
    <t>Sharon D Jackson</t>
  </si>
  <si>
    <t>Leiker G Rodriguez</t>
  </si>
  <si>
    <t>Cysy Holdings 1 Llc</t>
  </si>
  <si>
    <t>Mary Mcdonald</t>
  </si>
  <si>
    <t>Betty J Menendez</t>
  </si>
  <si>
    <t>3377 Chapel Ct Jax Llc</t>
  </si>
  <si>
    <t>Richard D Ward</t>
  </si>
  <si>
    <t>315 Real Estate Capital Llc</t>
  </si>
  <si>
    <t>Robert Heck</t>
  </si>
  <si>
    <t>Elizabeth Platt</t>
  </si>
  <si>
    <t>Vls Property Group Llc</t>
  </si>
  <si>
    <t>Fader Ents Llc</t>
  </si>
  <si>
    <t>O-Luxury Llc</t>
  </si>
  <si>
    <t>D &amp; A Jax Ents Inc</t>
  </si>
  <si>
    <t>First Haitian American Christi</t>
  </si>
  <si>
    <t>St Clair Llc</t>
  </si>
  <si>
    <t>Kenneth W Alderman</t>
  </si>
  <si>
    <t>Sharon Amoyal</t>
  </si>
  <si>
    <t>Chad Atallah</t>
  </si>
  <si>
    <t>Ryan Robbins</t>
  </si>
  <si>
    <t>Larissa Ross</t>
  </si>
  <si>
    <t>Anarkali Chhanda</t>
  </si>
  <si>
    <t>Harris Blue Investments Llc</t>
  </si>
  <si>
    <t>Allen Casteel</t>
  </si>
  <si>
    <t>Earth Works Properties Llc</t>
  </si>
  <si>
    <t>Edward J Tennant</t>
  </si>
  <si>
    <t>David M Commons</t>
  </si>
  <si>
    <t>William C Knight</t>
  </si>
  <si>
    <t>Helen Sabatier Llc</t>
  </si>
  <si>
    <t>Jorgen Nielsen</t>
  </si>
  <si>
    <t>Nse Llc</t>
  </si>
  <si>
    <t>Aiquimista Llc</t>
  </si>
  <si>
    <t>Sunrise Dropship Worldwide Llc</t>
  </si>
  <si>
    <t>Daniel H Peterson</t>
  </si>
  <si>
    <t>Tz Kaampi</t>
  </si>
  <si>
    <t>Elvis A Stridiron</t>
  </si>
  <si>
    <t>Normandy Blvd &amp; Cassat Ave Llc</t>
  </si>
  <si>
    <t>Charles Johnson</t>
  </si>
  <si>
    <t>E &amp; H Venture Capitalist Llc</t>
  </si>
  <si>
    <t>Jp Brown Co Llc</t>
  </si>
  <si>
    <t>Charles D Pickett</t>
  </si>
  <si>
    <t>Screen Vision Inc</t>
  </si>
  <si>
    <t>Miller Home Buyers Llc</t>
  </si>
  <si>
    <t>David Patrick</t>
  </si>
  <si>
    <t>Csaba Fargo</t>
  </si>
  <si>
    <t>Gregorio Mendoza</t>
  </si>
  <si>
    <t>Aviam Ilana</t>
  </si>
  <si>
    <t>Cdj Properties Group Llc</t>
  </si>
  <si>
    <t>Gallop Inc</t>
  </si>
  <si>
    <t>Great Home Offers Llc</t>
  </si>
  <si>
    <t>David Ron</t>
  </si>
  <si>
    <t>Ever Ents Of Jax Corp</t>
  </si>
  <si>
    <t>Ermin Osmanovic</t>
  </si>
  <si>
    <t>Dung Van Nguyen</t>
  </si>
  <si>
    <t>Doxa Properties Llc</t>
  </si>
  <si>
    <t>Pro Properties Investments &amp; R</t>
  </si>
  <si>
    <t>William D Kimble</t>
  </si>
  <si>
    <t>Brs Better Neighborhoods Inc</t>
  </si>
  <si>
    <t>Amazing Spine Care Inc</t>
  </si>
  <si>
    <t>Jack Casale</t>
  </si>
  <si>
    <t>James W Gibney</t>
  </si>
  <si>
    <t>Behai Ramouniceh</t>
  </si>
  <si>
    <t>Home Properties Llc</t>
  </si>
  <si>
    <t>Charles R Lockett</t>
  </si>
  <si>
    <t>Reed Nelson</t>
  </si>
  <si>
    <t>A-1 Vision Llc</t>
  </si>
  <si>
    <t>Infinite Capital Mgmt Llc</t>
  </si>
  <si>
    <t>Joseph Benza</t>
  </si>
  <si>
    <t>Rita E Tettenburn</t>
  </si>
  <si>
    <t>Joseph G Courier</t>
  </si>
  <si>
    <t>West Bedopas Llc</t>
  </si>
  <si>
    <t>Nisha J Kumar</t>
  </si>
  <si>
    <t>Edward D Nettles</t>
  </si>
  <si>
    <t>Mayfair Properties Llc</t>
  </si>
  <si>
    <t>Eyal Fraiman</t>
  </si>
  <si>
    <t>Frederick Mccall-Perez</t>
  </si>
  <si>
    <t>Mzr Llc</t>
  </si>
  <si>
    <t>Real State Growth Fund Llc</t>
  </si>
  <si>
    <t>Marc Biedenkapp</t>
  </si>
  <si>
    <t>Omar Gonzalez</t>
  </si>
  <si>
    <t>Billy G Andrews</t>
  </si>
  <si>
    <t>Sfres 1 Llc</t>
  </si>
  <si>
    <t>Oleksandr Donchenko</t>
  </si>
  <si>
    <t>Isauro Ramos</t>
  </si>
  <si>
    <t>Nancy Menchaca</t>
  </si>
  <si>
    <t>904 Move Llc</t>
  </si>
  <si>
    <t>Vicente S Velasco</t>
  </si>
  <si>
    <t>Michael I Miller</t>
  </si>
  <si>
    <t>Mark J Bonaccorso</t>
  </si>
  <si>
    <t>Petterson Morand</t>
  </si>
  <si>
    <t>Lawrence Bury</t>
  </si>
  <si>
    <t>Gloria Isaza</t>
  </si>
  <si>
    <t>Thunderland Inv Hldgs Llc</t>
  </si>
  <si>
    <t>Deancar Llc</t>
  </si>
  <si>
    <t>Reva Gorbaty</t>
  </si>
  <si>
    <t>Hanh Le</t>
  </si>
  <si>
    <t>Awais Imam</t>
  </si>
  <si>
    <t>Denis Palaj</t>
  </si>
  <si>
    <t>Cardinal Props Llc</t>
  </si>
  <si>
    <t>Scn Properties Miami Llc</t>
  </si>
  <si>
    <t>Covemar Real Estate Llc</t>
  </si>
  <si>
    <t>Vicente Framin Inc</t>
  </si>
  <si>
    <t>Tujuana Y Sykes</t>
  </si>
  <si>
    <t>Leo D Roth</t>
  </si>
  <si>
    <t>Marisol Cardona</t>
  </si>
  <si>
    <t>Daniel Campana</t>
  </si>
  <si>
    <t>Medy Isr Llc</t>
  </si>
  <si>
    <t>Amanda K Simmons</t>
  </si>
  <si>
    <t>Amanda Nimnicht</t>
  </si>
  <si>
    <t>S &amp; C Rental Properties I Llc</t>
  </si>
  <si>
    <t>Jyoti T Patel</t>
  </si>
  <si>
    <t>Nica Capital Llc</t>
  </si>
  <si>
    <t>Harness The Power Props Llc</t>
  </si>
  <si>
    <t>Robert P Coleman</t>
  </si>
  <si>
    <t>Honesty Landscaping &amp; Home Ren</t>
  </si>
  <si>
    <t>E Kelly Ents Inc</t>
  </si>
  <si>
    <t>Romana Waller</t>
  </si>
  <si>
    <t>Daniel Baker</t>
  </si>
  <si>
    <t>Gezim Sheno</t>
  </si>
  <si>
    <t>Douglas G Winstead</t>
  </si>
  <si>
    <t>Tmc Family Hodlings Llc</t>
  </si>
  <si>
    <t>Investment Benz Inc</t>
  </si>
  <si>
    <t>Twin 22 Investments Llc</t>
  </si>
  <si>
    <t>Geraldine H Thompson</t>
  </si>
  <si>
    <t>MAIL ADDRESS</t>
  </si>
  <si>
    <t>25 N Market St</t>
  </si>
  <si>
    <t>13245 Atlantic Blvd #4-242</t>
  </si>
  <si>
    <t>9718 Anders Blvd</t>
  </si>
  <si>
    <t>3001 Fort Caroline Rd</t>
  </si>
  <si>
    <t>712 Ponte Vedra Blvd</t>
  </si>
  <si>
    <t>219 Myrtle Brook Bnd</t>
  </si>
  <si>
    <t>920 Rustlewood Ln</t>
  </si>
  <si>
    <t>3030 N Rocky Point Dr W #150a</t>
  </si>
  <si>
    <t>5900 Sheffield Rd</t>
  </si>
  <si>
    <t>5658 University Blvd W</t>
  </si>
  <si>
    <t>731 Westminster Dr</t>
  </si>
  <si>
    <t>24409 Moss Creek Ln</t>
  </si>
  <si>
    <t>5001 Pine Ave</t>
  </si>
  <si>
    <t>10348 Huntington Forest Blvd E</t>
  </si>
  <si>
    <t>6929 N Hayden Rd #c4235</t>
  </si>
  <si>
    <t>11568 Summer Tree Rd N</t>
  </si>
  <si>
    <t>11353 Emuness Rd</t>
  </si>
  <si>
    <t>231 Payasada Cir</t>
  </si>
  <si>
    <t>8146 Cayuga Trl W</t>
  </si>
  <si>
    <t>Po Box 1612</t>
  </si>
  <si>
    <t>762 Royal Fern Ln</t>
  </si>
  <si>
    <t>4003 Coquina Dr</t>
  </si>
  <si>
    <t>1069 Nightingale Rd</t>
  </si>
  <si>
    <t>6836 Morrison Blvd #320</t>
  </si>
  <si>
    <t>13716 Gerona Dr N</t>
  </si>
  <si>
    <t>12304 Gately Ridge Ct</t>
  </si>
  <si>
    <t>212 Silver Creek Pl #8</t>
  </si>
  <si>
    <t>13865 Deer Chase Pl</t>
  </si>
  <si>
    <t>1817 Twelve Oaks Ln W</t>
  </si>
  <si>
    <t>45 Queens Folly Rd #583</t>
  </si>
  <si>
    <t>210 E Broadway #h1008</t>
  </si>
  <si>
    <t>6433 River Point Dr</t>
  </si>
  <si>
    <t>4236 Boat Club Dr</t>
  </si>
  <si>
    <t>8827 Ivymill Pl N</t>
  </si>
  <si>
    <t>5104 Pebble Isle Dr</t>
  </si>
  <si>
    <t>1648 Nottingham Knoll Dr</t>
  </si>
  <si>
    <t>1179 Ellis Rd S</t>
  </si>
  <si>
    <t>5511 Bergman Rd</t>
  </si>
  <si>
    <t>301 Oxford Way #47</t>
  </si>
  <si>
    <t>4000 Key Tower #127</t>
  </si>
  <si>
    <t>11653 Central Pkwy #219</t>
  </si>
  <si>
    <t>Po Box 342</t>
  </si>
  <si>
    <t>2991 Preserve Landing Dr</t>
  </si>
  <si>
    <t>154 Rivcrwood Dr</t>
  </si>
  <si>
    <t>1533 Mountain Lake Dr E</t>
  </si>
  <si>
    <t>291 Lionel Rd</t>
  </si>
  <si>
    <t>10435 Midtown Pkwy #305</t>
  </si>
  <si>
    <t>12621 Balcombe Rd</t>
  </si>
  <si>
    <t>1935 Valencia Dr</t>
  </si>
  <si>
    <t>5570 Florida Mining Blvd S #607</t>
  </si>
  <si>
    <t>3966 Ortega Blvd</t>
  </si>
  <si>
    <t>4332 Sea Grape Dr #12</t>
  </si>
  <si>
    <t>6122 Heckscher Dr</t>
  </si>
  <si>
    <t>1661 Worthington Rd #100</t>
  </si>
  <si>
    <t>101 E Town Pl #130</t>
  </si>
  <si>
    <t>4495-304 Roosevelt Blvd #299</t>
  </si>
  <si>
    <t>1930 Juanita Ave</t>
  </si>
  <si>
    <t>5001 Plaza/The Lk #200</t>
  </si>
  <si>
    <t>13411 Beall Ave</t>
  </si>
  <si>
    <t>12332 Casheros Cove Dr S</t>
  </si>
  <si>
    <t>14625 Sw 173rd St</t>
  </si>
  <si>
    <t>2913 Westberry Hideaway Ct</t>
  </si>
  <si>
    <t>Po Box 15087</t>
  </si>
  <si>
    <t>447 Ne 107th St</t>
  </si>
  <si>
    <t>8550 Beach Blvd</t>
  </si>
  <si>
    <t>945 Las Navas Pl</t>
  </si>
  <si>
    <t>2696 Tacito Trl</t>
  </si>
  <si>
    <t>3527 Mt Diablo Blvd</t>
  </si>
  <si>
    <t>1046 Riverside Ave</t>
  </si>
  <si>
    <t>11571 Key Biscayne Dr</t>
  </si>
  <si>
    <t>403 Grove St</t>
  </si>
  <si>
    <t>14092 Summer Breeze Dr</t>
  </si>
  <si>
    <t>1883 W Royal Hunte Dr #200</t>
  </si>
  <si>
    <t>5154 Wilton Walk Dr</t>
  </si>
  <si>
    <t>9415 Sw 72nd St</t>
  </si>
  <si>
    <t>10305 Triple Crown Ave</t>
  </si>
  <si>
    <t>604 Courtland St #180</t>
  </si>
  <si>
    <t>4962 Turtle Creek Trl</t>
  </si>
  <si>
    <t>578 Sapelo Rd</t>
  </si>
  <si>
    <t>2834 Circle Ridge Dr</t>
  </si>
  <si>
    <t>1701 W Kayla Ct</t>
  </si>
  <si>
    <t>2509 Wedgefield Blvd</t>
  </si>
  <si>
    <t>7008 Beechmont Ter</t>
  </si>
  <si>
    <t>9501 Normandy Blvd</t>
  </si>
  <si>
    <t>5912 Jaguar Dr W</t>
  </si>
  <si>
    <t>405 Alder St</t>
  </si>
  <si>
    <t>8985 Normandy Blvd</t>
  </si>
  <si>
    <t>4902 Park Blvd</t>
  </si>
  <si>
    <t>916 Southern Creek Dr</t>
  </si>
  <si>
    <t>8158 Paul Jones Dr</t>
  </si>
  <si>
    <t>577 College St</t>
  </si>
  <si>
    <t>4309 E Barcelona Way</t>
  </si>
  <si>
    <t>Po Box 7131</t>
  </si>
  <si>
    <t>52 Cape May Ave</t>
  </si>
  <si>
    <t>21 Foxwood Dr</t>
  </si>
  <si>
    <t>1835 Spiceberry Cir W</t>
  </si>
  <si>
    <t>3390 Kori Rd #9</t>
  </si>
  <si>
    <t>13876 Pleasant Valley Dr</t>
  </si>
  <si>
    <t>227 Candlebark Dr</t>
  </si>
  <si>
    <t>853 Broadway #5</t>
  </si>
  <si>
    <t>47 Puritan Rd</t>
  </si>
  <si>
    <t>97 Trumbull Ave</t>
  </si>
  <si>
    <t>6278 N Federal Hwy #420</t>
  </si>
  <si>
    <t>2107 New Berlin Rd</t>
  </si>
  <si>
    <t>6326 Terry Parker Dr N</t>
  </si>
  <si>
    <t>Po Box 4090</t>
  </si>
  <si>
    <t>5913 Oaklane Dr</t>
  </si>
  <si>
    <t>320 E 5th St</t>
  </si>
  <si>
    <t>2237 Park St</t>
  </si>
  <si>
    <t>2228 N Congress Ave</t>
  </si>
  <si>
    <t>9334 Cumberland Isle Dr</t>
  </si>
  <si>
    <t>4529 Wasco Way</t>
  </si>
  <si>
    <t>1301 W Redrock Ridge Ave</t>
  </si>
  <si>
    <t>4259 Philips Hwy</t>
  </si>
  <si>
    <t>7563 Philips Hwy #109</t>
  </si>
  <si>
    <t>5041 Cape Romain Ct</t>
  </si>
  <si>
    <t>14250 Pleasant Point Ln</t>
  </si>
  <si>
    <t>9366 Blunder Rd</t>
  </si>
  <si>
    <t>2604 Tacito Trl</t>
  </si>
  <si>
    <t>2594 Cauley Ln</t>
  </si>
  <si>
    <t>4135 Water Oak Ln</t>
  </si>
  <si>
    <t>7749 Normandy Blvd #145-353</t>
  </si>
  <si>
    <t>540 Ne 52st</t>
  </si>
  <si>
    <t>8019 Joffre Dr</t>
  </si>
  <si>
    <t>6818 N Main St</t>
  </si>
  <si>
    <t>14830 Sw 153rd Ter</t>
  </si>
  <si>
    <t>Po Box 3493</t>
  </si>
  <si>
    <t>1538 Hendricks Ave #2</t>
  </si>
  <si>
    <t>7010 Gaines Ct</t>
  </si>
  <si>
    <t>4030 Lockhart Dr</t>
  </si>
  <si>
    <t>4718 Pine Lake Dr</t>
  </si>
  <si>
    <t>8650 Collins Ridge Blvd S</t>
  </si>
  <si>
    <t>7061 San Jacinto Ct</t>
  </si>
  <si>
    <t>1645 Hawkcrest Dr</t>
  </si>
  <si>
    <t>2099 Park St</t>
  </si>
  <si>
    <t>5561 Autumnbrook Ct</t>
  </si>
  <si>
    <t>240 Newport Center Dr</t>
  </si>
  <si>
    <t>4879 Monroe Forest Dr</t>
  </si>
  <si>
    <t>3500 S Dupont Hwy</t>
  </si>
  <si>
    <t>2630 Sw 137th Ter</t>
  </si>
  <si>
    <t>3205 Nw 103rd Ter</t>
  </si>
  <si>
    <t>11301 Kingsley Manor Way</t>
  </si>
  <si>
    <t>411 Walnut St</t>
  </si>
  <si>
    <t>10820 Peaceful Harbor Dr</t>
  </si>
  <si>
    <t>7595 Baymeadows Cir W #1611</t>
  </si>
  <si>
    <t>7702 Brandon Ct</t>
  </si>
  <si>
    <t>211 River Hills Dr</t>
  </si>
  <si>
    <t>1073 Council Rd</t>
  </si>
  <si>
    <t>4994 Empire Ave</t>
  </si>
  <si>
    <t>Po Box 10385</t>
  </si>
  <si>
    <t>9263 Sw 149th Pl</t>
  </si>
  <si>
    <t>10618 Inverness Dr</t>
  </si>
  <si>
    <t>7382 Benes Trl</t>
  </si>
  <si>
    <t>10207 Plummer Rd</t>
  </si>
  <si>
    <t>10707 Pinholster Rd</t>
  </si>
  <si>
    <t>321 Sweetbrier Branch Ln</t>
  </si>
  <si>
    <t>11310 Alta Dr</t>
  </si>
  <si>
    <t>11366 Ashley Manor Way</t>
  </si>
  <si>
    <t>3164 Brettungar Dr</t>
  </si>
  <si>
    <t>300 N Martingale Rd #150</t>
  </si>
  <si>
    <t>2796 Lydia St</t>
  </si>
  <si>
    <t>301 W Bay St</t>
  </si>
  <si>
    <t>6800 Owensmouth Ave #410</t>
  </si>
  <si>
    <t>3634 Marsh Cveek Dr</t>
  </si>
  <si>
    <t>1791 Biarritz Dr</t>
  </si>
  <si>
    <t>5244 Sw 102nd Ct</t>
  </si>
  <si>
    <t>Po Box 600771</t>
  </si>
  <si>
    <t>306 Sterling Hill Dr</t>
  </si>
  <si>
    <t>581 Sparrow Branch Cir</t>
  </si>
  <si>
    <t>12604 Bent Bay Trl</t>
  </si>
  <si>
    <t>3416 Moncrief Rd #200</t>
  </si>
  <si>
    <t>5001 Plaza On The Lk</t>
  </si>
  <si>
    <t>125 Wappoo Creek Dr #g</t>
  </si>
  <si>
    <t>10321 Parlett Pl</t>
  </si>
  <si>
    <t>13 Capri Ct</t>
  </si>
  <si>
    <t>450 State Road 13 #106</t>
  </si>
  <si>
    <t>12098 Autumn Sunrise Dr</t>
  </si>
  <si>
    <t>5546 Sharon Ter</t>
  </si>
  <si>
    <t>813 Dixie Ave</t>
  </si>
  <si>
    <t>12246 Sunchase Dr</t>
  </si>
  <si>
    <t>101 Formosa Pl</t>
  </si>
  <si>
    <t>280 E 92nd St</t>
  </si>
  <si>
    <t>6058 San Jose Blvd</t>
  </si>
  <si>
    <t>6155 Windsor Trace Dr</t>
  </si>
  <si>
    <t>3535 Silvery Ln</t>
  </si>
  <si>
    <t>1339 Ellis Rd S</t>
  </si>
  <si>
    <t>1938 Arcadia Dr</t>
  </si>
  <si>
    <t>4332 Lambing Rd</t>
  </si>
  <si>
    <t>6300 Sea Mist Ct</t>
  </si>
  <si>
    <t>5041 Nagle Ave</t>
  </si>
  <si>
    <t>1045 Waterfall Dr</t>
  </si>
  <si>
    <t>3585 Saint Johns Ave</t>
  </si>
  <si>
    <t>1605 King St</t>
  </si>
  <si>
    <t>3703 Hastsfield</t>
  </si>
  <si>
    <t>11232 Scott Mill Rd</t>
  </si>
  <si>
    <t>3650 Walmsley Ave</t>
  </si>
  <si>
    <t>11605 Grotta Azzurra Ave</t>
  </si>
  <si>
    <t>3464 San Jose Blvd</t>
  </si>
  <si>
    <t>11597 Coral Ridge Ave</t>
  </si>
  <si>
    <t>7520 Free Ave</t>
  </si>
  <si>
    <t>8230 Dames Point Crossing Blvd N</t>
  </si>
  <si>
    <t>663 S Preserve Vw</t>
  </si>
  <si>
    <t>3316 Warnell Dr</t>
  </si>
  <si>
    <t>1916 Kusaie Dr</t>
  </si>
  <si>
    <t>8139 Cocoa Ave</t>
  </si>
  <si>
    <t>3517 Peeler Rd #6</t>
  </si>
  <si>
    <t>1327 Bear Run Blvd</t>
  </si>
  <si>
    <t>20 Tallwood Rd</t>
  </si>
  <si>
    <t>7065 Luke St</t>
  </si>
  <si>
    <t>Po Box 908</t>
  </si>
  <si>
    <t>11240 Ardencroft Ct</t>
  </si>
  <si>
    <t>9645 Baymeadows Rd #646</t>
  </si>
  <si>
    <t>3502 Summerlin Ln</t>
  </si>
  <si>
    <t>4529 Harbour North Ct</t>
  </si>
  <si>
    <t>1415 Moody St</t>
  </si>
  <si>
    <t>2215 Holly Oaks River Dr</t>
  </si>
  <si>
    <t>700 Nw 107th Ave #4th</t>
  </si>
  <si>
    <t>103 Eisenhower Pkwy #300</t>
  </si>
  <si>
    <t>5358 Hidden Gardens Dr</t>
  </si>
  <si>
    <t>5739 Wells Ln</t>
  </si>
  <si>
    <t>3333 Excalibur Way</t>
  </si>
  <si>
    <t>1028 Vivian Ct</t>
  </si>
  <si>
    <t>4012 Mcgirts Blvd</t>
  </si>
  <si>
    <t>1760 Hollow Glen Dr</t>
  </si>
  <si>
    <t>6219 Cooper Ave</t>
  </si>
  <si>
    <t>3818 Sandy Shores Dr</t>
  </si>
  <si>
    <t>1011 E 19th Ave</t>
  </si>
  <si>
    <t>111 S Wacker Dr #4730</t>
  </si>
  <si>
    <t>7563 Philips Hwy</t>
  </si>
  <si>
    <t>2012 Sw River Sq</t>
  </si>
  <si>
    <t>11459 Glenlaurel Oaks Cir</t>
  </si>
  <si>
    <t>3840 Crown Point Rd #c</t>
  </si>
  <si>
    <t>8582 Boone Cir</t>
  </si>
  <si>
    <t>2028 E Ben White Blvd #240-433</t>
  </si>
  <si>
    <t>4427 Steamboat Springs Dr E</t>
  </si>
  <si>
    <t>7205 Bgerman Lake Dr S</t>
  </si>
  <si>
    <t>6833 Loubet St</t>
  </si>
  <si>
    <t>3841 Evan Samuel Dr</t>
  </si>
  <si>
    <t>1972 Red Bug Aly</t>
  </si>
  <si>
    <t>11631 Victory Blvd #208</t>
  </si>
  <si>
    <t>313 Sw Nightshade Dr</t>
  </si>
  <si>
    <t>1700 Hudderfield Cir W</t>
  </si>
  <si>
    <t>1714 Ceseiy Blvd</t>
  </si>
  <si>
    <t>1337 Saint Elmo Dr</t>
  </si>
  <si>
    <t>5490 11th St</t>
  </si>
  <si>
    <t>2905 Algonquin Ave</t>
  </si>
  <si>
    <t>1203 Stimson St</t>
  </si>
  <si>
    <t>3632 Buckskin Trl W</t>
  </si>
  <si>
    <t>1791 Long Slough Walk</t>
  </si>
  <si>
    <t>2323 Ardmore Ct</t>
  </si>
  <si>
    <t>2030 Harmon Ave</t>
  </si>
  <si>
    <t>3348 Whippoorwill Ct</t>
  </si>
  <si>
    <t>4689 Us Highway 17 #1</t>
  </si>
  <si>
    <t>2831 Harvest Moon Dr</t>
  </si>
  <si>
    <t>4403 W 68th Ave</t>
  </si>
  <si>
    <t>2575 Britney Lakes Ln</t>
  </si>
  <si>
    <t>5000 Us Highway 17 #18</t>
  </si>
  <si>
    <t>4550 Saint Augustine Rd #1</t>
  </si>
  <si>
    <t>3015 Front Rd</t>
  </si>
  <si>
    <t>6900 Philips Hwy #36</t>
  </si>
  <si>
    <t>325 N Calhoun St</t>
  </si>
  <si>
    <t>12427 Dewhurst Cir</t>
  </si>
  <si>
    <t>1560 Wells Rd #a</t>
  </si>
  <si>
    <t>501 Riverside Ave #600</t>
  </si>
  <si>
    <t>12568 Point Park Dr</t>
  </si>
  <si>
    <t>10482 Nw 31st Ter</t>
  </si>
  <si>
    <t>7359 Rocky Ln</t>
  </si>
  <si>
    <t>1013 Candlebark Dr</t>
  </si>
  <si>
    <t>791 Assisi Ln #603</t>
  </si>
  <si>
    <t>Po Box 5311</t>
  </si>
  <si>
    <t>25 Greens Rd</t>
  </si>
  <si>
    <t>1200 Brickell Ave</t>
  </si>
  <si>
    <t>526 Pratt St</t>
  </si>
  <si>
    <t>30601 Agoura Rd #200</t>
  </si>
  <si>
    <t>9220 Leith Dr</t>
  </si>
  <si>
    <t>7407 Greenwat Dr</t>
  </si>
  <si>
    <t>23944 Eureka Rd</t>
  </si>
  <si>
    <t>3504 Stanley St</t>
  </si>
  <si>
    <t>7332 Smokey Flill Rd</t>
  </si>
  <si>
    <t>1847 Ryar Rd</t>
  </si>
  <si>
    <t>8160 Sarcee Trl</t>
  </si>
  <si>
    <t>9785 Ansley Lake Dr</t>
  </si>
  <si>
    <t>906 Pate Rd</t>
  </si>
  <si>
    <t>1850 Parkway Pl #900</t>
  </si>
  <si>
    <t>2485 Peach Dr</t>
  </si>
  <si>
    <t>8441 Bluestem Ct</t>
  </si>
  <si>
    <t>6215 Bridgevista Dr</t>
  </si>
  <si>
    <t>945 Mineral Rd</t>
  </si>
  <si>
    <t>9524 Broken Oak Blvd</t>
  </si>
  <si>
    <t>1315 1st St</t>
  </si>
  <si>
    <t>207 Towers Ranch Dr</t>
  </si>
  <si>
    <t>4119 Tradewinds Dr</t>
  </si>
  <si>
    <t>258 Holiday Park Blvd Ne</t>
  </si>
  <si>
    <t>18 Sias Point Rd</t>
  </si>
  <si>
    <t>13508 Avery Park Ln</t>
  </si>
  <si>
    <t>23014 Ne 69th Ave</t>
  </si>
  <si>
    <t>40637 Lenox Park Dr</t>
  </si>
  <si>
    <t>1889 Atlantic Beach Dr</t>
  </si>
  <si>
    <t>20c Del Carmine St</t>
  </si>
  <si>
    <t>80 Island Estates Pkwy</t>
  </si>
  <si>
    <t>115 Astrn Way</t>
  </si>
  <si>
    <t>191 Sand Creek Rd #100</t>
  </si>
  <si>
    <t>2121 Corporate Square Blvd #a</t>
  </si>
  <si>
    <t>1952 Talon Sharp Way</t>
  </si>
  <si>
    <t>1915 Wigmore St</t>
  </si>
  <si>
    <t>2822 Broward Rd</t>
  </si>
  <si>
    <t>9526 Argyle Forest Blvd #3</t>
  </si>
  <si>
    <t>10708 Executive Dr</t>
  </si>
  <si>
    <t>2929 Duval Dr</t>
  </si>
  <si>
    <t>166 Muirfield Dr</t>
  </si>
  <si>
    <t>1703 10th St N</t>
  </si>
  <si>
    <t>308 Abner Creek Rd</t>
  </si>
  <si>
    <t>1004 Ne 2nd St</t>
  </si>
  <si>
    <t>10 Anna May Ln</t>
  </si>
  <si>
    <t>3405 Chrysler Dr</t>
  </si>
  <si>
    <t>10467 Ilah Rd</t>
  </si>
  <si>
    <t>4314 Genoa Ave</t>
  </si>
  <si>
    <t>556 Grampian Highlands Dr</t>
  </si>
  <si>
    <t>906 Stocks St</t>
  </si>
  <si>
    <t>221 N Hogan St #163</t>
  </si>
  <si>
    <t>1645 River Bluff Rd N</t>
  </si>
  <si>
    <t>1514 Felch Ave</t>
  </si>
  <si>
    <t>7500 E Dobson Rd</t>
  </si>
  <si>
    <t>700 N University Blvd #msc-172</t>
  </si>
  <si>
    <t>457 Pine Hollow Rd</t>
  </si>
  <si>
    <t>9191 R G Skinner Pkwy #102</t>
  </si>
  <si>
    <t>7340 E Legacy Blvd #f1003</t>
  </si>
  <si>
    <t>295 Nw Commons Loop #115-266</t>
  </si>
  <si>
    <t>12180 Dividing Oaks Trl W</t>
  </si>
  <si>
    <t>9111 Spindletree Way</t>
  </si>
  <si>
    <t>6301 Indian School Rd Ne</t>
  </si>
  <si>
    <t>10048 Ecton Ln</t>
  </si>
  <si>
    <t>1441 Manotak Ave</t>
  </si>
  <si>
    <t>1090 Redbird Ave</t>
  </si>
  <si>
    <t>1850 Parkway Pl</t>
  </si>
  <si>
    <t>8 Ponte Vedra Ct #c</t>
  </si>
  <si>
    <t>23/12 Onot Hashana St</t>
  </si>
  <si>
    <t>9140 Paisley Ct</t>
  </si>
  <si>
    <t>1521 Alton Rd #658</t>
  </si>
  <si>
    <t>4529 Shiloh Mill Blvd</t>
  </si>
  <si>
    <t>Po Box 47773</t>
  </si>
  <si>
    <t>15037 Durbin Cove Way</t>
  </si>
  <si>
    <t>10209 Lily Green Ct</t>
  </si>
  <si>
    <t>2012 Walnut St</t>
  </si>
  <si>
    <t>4152 Fairwood St</t>
  </si>
  <si>
    <t>1727 Cedar Bay Rd</t>
  </si>
  <si>
    <t>161 Hampton Point Dr #1</t>
  </si>
  <si>
    <t>13282 Long Cypress Trl</t>
  </si>
  <si>
    <t>8941 Beautyleaf Way</t>
  </si>
  <si>
    <t>2403 Ribauklt Scenic</t>
  </si>
  <si>
    <t>2487 Coachman Lakes Dr</t>
  </si>
  <si>
    <t>1514 Fetch Ave</t>
  </si>
  <si>
    <t>7833 Scotland Rd</t>
  </si>
  <si>
    <t>8785 Perimeter Park Blvd</t>
  </si>
  <si>
    <t>5720 Sullivan Ln</t>
  </si>
  <si>
    <t>4114 Herschel St #114</t>
  </si>
  <si>
    <t>3457 Mainard Branch Ct</t>
  </si>
  <si>
    <t>13690 Longs Landing Rd W</t>
  </si>
  <si>
    <t>1342 High St</t>
  </si>
  <si>
    <t>6527 Lacey Ct</t>
  </si>
  <si>
    <t>1650 Margaret St #302</t>
  </si>
  <si>
    <t>12620 Beach Blvd #3273</t>
  </si>
  <si>
    <t>180 Solano Cay Cir</t>
  </si>
  <si>
    <t>8374 Nw 64th</t>
  </si>
  <si>
    <t>5800 Bell Rd</t>
  </si>
  <si>
    <t>8120 Weybridge Dr</t>
  </si>
  <si>
    <t>3924 Tar Kiln Rd</t>
  </si>
  <si>
    <t>1114 Flying Fish Ln</t>
  </si>
  <si>
    <t>1916 Lyndhurst Dr</t>
  </si>
  <si>
    <t>8766 Townsquare Ct</t>
  </si>
  <si>
    <t>3221 N Los Coyotes Diagonal</t>
  </si>
  <si>
    <t>12324 Hollow Glade Ct</t>
  </si>
  <si>
    <t>7920 Oriole St</t>
  </si>
  <si>
    <t>1061 Nutmeg Lndg</t>
  </si>
  <si>
    <t>3668 Cedar Dr</t>
  </si>
  <si>
    <t>1362 Sunnymeade Dr</t>
  </si>
  <si>
    <t>22112 Altona Dr</t>
  </si>
  <si>
    <t>11303 Business Park Blvd</t>
  </si>
  <si>
    <t>4145 Powell Rd</t>
  </si>
  <si>
    <t>1625 Emerson St</t>
  </si>
  <si>
    <t>Po Box 261</t>
  </si>
  <si>
    <t>8799 Townsquare Ct</t>
  </si>
  <si>
    <t>4320 Deerwood Lake Pkwy #101-229</t>
  </si>
  <si>
    <t>8134 Nw 51st Dr</t>
  </si>
  <si>
    <t>4861 State Road 13</t>
  </si>
  <si>
    <t>4385 Spurline Dr S</t>
  </si>
  <si>
    <t>1080 Edgewood Ave S #5</t>
  </si>
  <si>
    <t>5455 Turkey Creek Ct</t>
  </si>
  <si>
    <t>662 S Loop Pkwy</t>
  </si>
  <si>
    <t>583 Exeter Ct</t>
  </si>
  <si>
    <t>1796 E Cloverdale Rd</t>
  </si>
  <si>
    <t>8561 Floorstone Mill Dr</t>
  </si>
  <si>
    <t>267 Michaela St</t>
  </si>
  <si>
    <t>30601 Agoura Rd</t>
  </si>
  <si>
    <t>Po Box 499</t>
  </si>
  <si>
    <t>5870 San Juan Ave #1</t>
  </si>
  <si>
    <t>9700 Touchton Rd #103</t>
  </si>
  <si>
    <t>12861 Wiregrass Ln</t>
  </si>
  <si>
    <t>5820 State Road 16</t>
  </si>
  <si>
    <t>325 S Ocean Grande Dr #204</t>
  </si>
  <si>
    <t>2303 Finley Ridge Ln</t>
  </si>
  <si>
    <t>12064 Correa Ct</t>
  </si>
  <si>
    <t>5711 Richard St #1</t>
  </si>
  <si>
    <t>11174 Windlesham Ct</t>
  </si>
  <si>
    <t>4631 S Atlantic Ave #8707</t>
  </si>
  <si>
    <t>79 Madison Ave #5th</t>
  </si>
  <si>
    <t>1393 Soaring Flight Way #331</t>
  </si>
  <si>
    <t>10605 Theresa Dr</t>
  </si>
  <si>
    <t>226 Tallwood Rd</t>
  </si>
  <si>
    <t>Po Box 1193</t>
  </si>
  <si>
    <t>4319 Salisbury Rd #108</t>
  </si>
  <si>
    <t>508 S Harbor Lights Dr</t>
  </si>
  <si>
    <t>8913 Shining Oak Ct</t>
  </si>
  <si>
    <t>2057 Valens Dr</t>
  </si>
  <si>
    <t>5470 Clifton Rd</t>
  </si>
  <si>
    <t>248 Mckibben St #4b</t>
  </si>
  <si>
    <t>13050 Gran Bay Pkwy #1419</t>
  </si>
  <si>
    <t>11428 Renne Dr E</t>
  </si>
  <si>
    <t>16 Whispering Woods Dr</t>
  </si>
  <si>
    <t>8613 Old Kings Rd #100</t>
  </si>
  <si>
    <t>11732 Beach Blvd</t>
  </si>
  <si>
    <t>403 Branch Wood Ln</t>
  </si>
  <si>
    <t>3545 Saint Johns Bluff Rd S #1-13</t>
  </si>
  <si>
    <t>5309 Gold Creek Cir</t>
  </si>
  <si>
    <t>12638 Agatite Rd</t>
  </si>
  <si>
    <t>149 Bragg St</t>
  </si>
  <si>
    <t>3036 Secret Woods Trl W</t>
  </si>
  <si>
    <t>250 W Jersey St #b2</t>
  </si>
  <si>
    <t>13418 Collen Rd</t>
  </si>
  <si>
    <t>2450 Hollywood Blvd #602</t>
  </si>
  <si>
    <t>4440 Merrimac Ave</t>
  </si>
  <si>
    <t>854 Via Barquero</t>
  </si>
  <si>
    <t>405 Howard St #550</t>
  </si>
  <si>
    <t>1105 Roundtree Cir</t>
  </si>
  <si>
    <t>629 209th St</t>
  </si>
  <si>
    <t>180 N Stetson Ave</t>
  </si>
  <si>
    <t>318 Laurina St</t>
  </si>
  <si>
    <t>1579 Hurst Pl</t>
  </si>
  <si>
    <t>5181 Emory Cir</t>
  </si>
  <si>
    <t>540 Wellhouse Dr</t>
  </si>
  <si>
    <t>1 Gal St Mishmar David</t>
  </si>
  <si>
    <t>17633 Nw 7th Ave</t>
  </si>
  <si>
    <t>1549 Ne 123rd St</t>
  </si>
  <si>
    <t>4828 Julington Creek Rd</t>
  </si>
  <si>
    <t>1210 Gum Leaf Rd</t>
  </si>
  <si>
    <t>5157 Greenway Dr N</t>
  </si>
  <si>
    <t>107 3rd Ave #b2</t>
  </si>
  <si>
    <t>908 Browns Rd</t>
  </si>
  <si>
    <t>10632 N Scottsclale Rd #541</t>
  </si>
  <si>
    <t>17971 Biscayne Blvd</t>
  </si>
  <si>
    <t>93 Oceanside Dr</t>
  </si>
  <si>
    <t>13364 Beach Blvd #726</t>
  </si>
  <si>
    <t>11250 Old Saint Augustine Rd #15</t>
  </si>
  <si>
    <t>6900 Philips Hwy</t>
  </si>
  <si>
    <t>2808 Lake Shave Blvd</t>
  </si>
  <si>
    <t>2840 W Bay Dr #283</t>
  </si>
  <si>
    <t>3831 Hunt Club Rd</t>
  </si>
  <si>
    <t>2390 Stockton Dr</t>
  </si>
  <si>
    <t>12118 Sunchase Dr</t>
  </si>
  <si>
    <t>918 Mecba St</t>
  </si>
  <si>
    <t>2405 Summer Tree Rd E</t>
  </si>
  <si>
    <t>2519 Tulsa Rd N</t>
  </si>
  <si>
    <t>2505 Saint Leger Dr</t>
  </si>
  <si>
    <t>4565 Woolman Ave</t>
  </si>
  <si>
    <t>4638 Shelby Ave</t>
  </si>
  <si>
    <t>1922 Grove Bluff Rd</t>
  </si>
  <si>
    <t>6847 Crane Ave</t>
  </si>
  <si>
    <t>4923 Walnut Bnd</t>
  </si>
  <si>
    <t>1958 Coldfield Dr W</t>
  </si>
  <si>
    <t>776 Pinehill Dr Se</t>
  </si>
  <si>
    <t>30601 Agoura Rd #91301</t>
  </si>
  <si>
    <t>8270 Manjack Cay</t>
  </si>
  <si>
    <t>4335 Forest Blvd</t>
  </si>
  <si>
    <t>5323 Philips Hwy</t>
  </si>
  <si>
    <t>3131 Jones Rd</t>
  </si>
  <si>
    <t>9840 Arnold Rd</t>
  </si>
  <si>
    <t>211 Jacob Dr</t>
  </si>
  <si>
    <t>200 Austin</t>
  </si>
  <si>
    <t>Plaza On The Lk #200</t>
  </si>
  <si>
    <t>4112 Shetland Pony Ln</t>
  </si>
  <si>
    <t>3924 Alcazar Ave</t>
  </si>
  <si>
    <t>3002 Sw 95th Ter #1702</t>
  </si>
  <si>
    <t>1002 Belmont Dr</t>
  </si>
  <si>
    <t>11521 Mandarin Rd</t>
  </si>
  <si>
    <t>2151 Lady Di Ln</t>
  </si>
  <si>
    <t>7203 Starling Dr</t>
  </si>
  <si>
    <t>1829 Ashmore Green Dr</t>
  </si>
  <si>
    <t>7986 Quailwood Dr</t>
  </si>
  <si>
    <t>4124 Baltic St</t>
  </si>
  <si>
    <t>12672 Larlice Rd</t>
  </si>
  <si>
    <t>2450 Hollywood Blvd</t>
  </si>
  <si>
    <t>1431 Rlverplace Blvd #1401</t>
  </si>
  <si>
    <t>Po Box 330611</t>
  </si>
  <si>
    <t>8739 Kona Ave</t>
  </si>
  <si>
    <t>30 N Gould St #n</t>
  </si>
  <si>
    <t>1776 Challen Ave</t>
  </si>
  <si>
    <t>5408 Eulace Rd</t>
  </si>
  <si>
    <t>13028 Highland Glen Way S</t>
  </si>
  <si>
    <t>11512 Lake Mead Ave #701</t>
  </si>
  <si>
    <t>411 Perthshire Dr</t>
  </si>
  <si>
    <t>6503 Ector Rd</t>
  </si>
  <si>
    <t>1854 Ingleside Ave</t>
  </si>
  <si>
    <t>12532 Mission Hills Dr S</t>
  </si>
  <si>
    <t>13221 Mendenhall Pl</t>
  </si>
  <si>
    <t>5001 Plaza On The Lk #200</t>
  </si>
  <si>
    <t>2474 Blackbeard Dr</t>
  </si>
  <si>
    <t>8537 Cordovia Ave</t>
  </si>
  <si>
    <t>1521 Rockpond Meadows Ct</t>
  </si>
  <si>
    <t>3001 Fort Caroline Ct</t>
  </si>
  <si>
    <t>4870 Deer Lake Dr E #1207</t>
  </si>
  <si>
    <t>2248 Fallen Tree Dr W</t>
  </si>
  <si>
    <t>31 Pawprint</t>
  </si>
  <si>
    <t>105 Burghead Way</t>
  </si>
  <si>
    <t>4494 Willow Chase Ter</t>
  </si>
  <si>
    <t>11628 Aspen Creek Dr</t>
  </si>
  <si>
    <t>2570 State Road 13</t>
  </si>
  <si>
    <t>4293 Port Chester Way</t>
  </si>
  <si>
    <t>1080 Houtwod Ave S #6</t>
  </si>
  <si>
    <t>9601 Conch Shell Mnr</t>
  </si>
  <si>
    <t>8618 Beechfern Ln E</t>
  </si>
  <si>
    <t>3055 Kegler Dr</t>
  </si>
  <si>
    <t>6700 Aline Rd</t>
  </si>
  <si>
    <t>16203 Highland Dr</t>
  </si>
  <si>
    <t>370 Plaza St</t>
  </si>
  <si>
    <t>13624 Glen Canyon Dr</t>
  </si>
  <si>
    <t>41 Gold Cup Dr</t>
  </si>
  <si>
    <t>8743 Kaye Ln</t>
  </si>
  <si>
    <t>3721 Dupont Station Ct S</t>
  </si>
  <si>
    <t>425 Cranbrook Ct</t>
  </si>
  <si>
    <t>8139 Shady Gove Rd</t>
  </si>
  <si>
    <t>4728 Julington Creek Rd</t>
  </si>
  <si>
    <t>302 Stockton St</t>
  </si>
  <si>
    <t>825 Alhambra Dr N</t>
  </si>
  <si>
    <t>12407 Valpariso Trl</t>
  </si>
  <si>
    <t>10957 River Falls Dr</t>
  </si>
  <si>
    <t>8262 Riding Club Rd</t>
  </si>
  <si>
    <t>3480 Commonwealth Ave</t>
  </si>
  <si>
    <t>2587 Moody Ave</t>
  </si>
  <si>
    <t>54225 Ogilvie Rd</t>
  </si>
  <si>
    <t>3526 Shady Woods St E</t>
  </si>
  <si>
    <t>8145 Hunters Grove Rd</t>
  </si>
  <si>
    <t>1110 Martinique Rd</t>
  </si>
  <si>
    <t>8141 Foxdale Dr</t>
  </si>
  <si>
    <t>6021 Versailles Ave</t>
  </si>
  <si>
    <t>7278 Lem Turner Rd</t>
  </si>
  <si>
    <t>1927 Woodmere Dr</t>
  </si>
  <si>
    <t>12501 Beach Blvd</t>
  </si>
  <si>
    <t>3743 Cricket Cove Rd E</t>
  </si>
  <si>
    <t>2728 Lake Shore Blvd</t>
  </si>
  <si>
    <t>1024 Morning Stroll Ln</t>
  </si>
  <si>
    <t>33 4th St N #201</t>
  </si>
  <si>
    <t>411 Ne 2nd Ave</t>
  </si>
  <si>
    <t>7857 Heather Lake Ct E</t>
  </si>
  <si>
    <t>320 1st St</t>
  </si>
  <si>
    <t>1620 Nw 22nd St</t>
  </si>
  <si>
    <t>2826 Barrett Rd</t>
  </si>
  <si>
    <t>6512 Solandra Dr S</t>
  </si>
  <si>
    <t>5124 Rosebay Ter</t>
  </si>
  <si>
    <t>392 Broadway</t>
  </si>
  <si>
    <t>1 Independent Dr #1880</t>
  </si>
  <si>
    <t>52262 D W Seaton Dr</t>
  </si>
  <si>
    <t>11590 Wynnfield Lakes Cir</t>
  </si>
  <si>
    <t>4026 Ortega Forest Dr</t>
  </si>
  <si>
    <t>351 4th St</t>
  </si>
  <si>
    <t>12959 Chelsea Harbor Dr S</t>
  </si>
  <si>
    <t>1257 Ardmore St</t>
  </si>
  <si>
    <t>12486 Healthgate Ct</t>
  </si>
  <si>
    <t>70 Crystal Branch Ct</t>
  </si>
  <si>
    <t>4652 Bedford Rd</t>
  </si>
  <si>
    <t>62 Mezada St</t>
  </si>
  <si>
    <t>5853 Normandy Blvd</t>
  </si>
  <si>
    <t>1101 Missionwood Ln</t>
  </si>
  <si>
    <t>12708 Wedge Ct</t>
  </si>
  <si>
    <t>831 Black Rock Rd</t>
  </si>
  <si>
    <t>285 Bon Air Dr N</t>
  </si>
  <si>
    <t>7629 Melissa Ct N</t>
  </si>
  <si>
    <t>6857 Goldilocks Ln</t>
  </si>
  <si>
    <t>8862 Canopy Oaks Dr</t>
  </si>
  <si>
    <t>4630 S Kirkman Rd #246</t>
  </si>
  <si>
    <t>11400 Cisco Gardens Rd S</t>
  </si>
  <si>
    <t>1000 Abernathy Rd #245a</t>
  </si>
  <si>
    <t>6320 Saint Augustine Rd #10</t>
  </si>
  <si>
    <t>27727 N 68th Pl</t>
  </si>
  <si>
    <t>6157 Waters Way</t>
  </si>
  <si>
    <t>556 Candlebark Dr</t>
  </si>
  <si>
    <t>12554 Ayrshire St E</t>
  </si>
  <si>
    <t>10764 Tulsa Rd</t>
  </si>
  <si>
    <t>4535 Country Club Rd</t>
  </si>
  <si>
    <t>726 Ne Galilean St</t>
  </si>
  <si>
    <t>17218 Mariposa Grove Ln</t>
  </si>
  <si>
    <t>6648 Michael Dr</t>
  </si>
  <si>
    <t>2822 Spring Park Rd</t>
  </si>
  <si>
    <t>Po Box 451340</t>
  </si>
  <si>
    <t>177 4th Ave N #200</t>
  </si>
  <si>
    <t>266 Elmwood Ave</t>
  </si>
  <si>
    <t>564 Wellhouse Dr</t>
  </si>
  <si>
    <t>3316 Wamell Dr</t>
  </si>
  <si>
    <t>1520 Mayfair Rd</t>
  </si>
  <si>
    <t>6900 Philips Hwy #28</t>
  </si>
  <si>
    <t>59 W Cypress St</t>
  </si>
  <si>
    <t>157 Coosaw Ct</t>
  </si>
  <si>
    <t>4300 Stevens Creek Blvd #275</t>
  </si>
  <si>
    <t>2682 Fawn Point Dr</t>
  </si>
  <si>
    <t>11844 Willowbrook Ave</t>
  </si>
  <si>
    <t>1530 E Blount St</t>
  </si>
  <si>
    <t>2001 Broadway #400</t>
  </si>
  <si>
    <t>3432 Tarpon Dr</t>
  </si>
  <si>
    <t>1780 Barrett Rd</t>
  </si>
  <si>
    <t>1316 Timber Ln</t>
  </si>
  <si>
    <t>2954 Christopher Rd</t>
  </si>
  <si>
    <t>4040 Eagle Landing Pkwy</t>
  </si>
  <si>
    <t>11508 Pine Forest Ct</t>
  </si>
  <si>
    <t>638 Charles Pinckney St</t>
  </si>
  <si>
    <t>5118 City St #532</t>
  </si>
  <si>
    <t>12415 Teal Run Ct</t>
  </si>
  <si>
    <t>1001 Bay 30th St</t>
  </si>
  <si>
    <t>70 Belmont Blvd</t>
  </si>
  <si>
    <t>2210 Florida Blvd</t>
  </si>
  <si>
    <t>6350 N Magnolia Ave #2</t>
  </si>
  <si>
    <t>8626 Reedy Branch Dr</t>
  </si>
  <si>
    <t>10160 Bishop Lakes Rd N</t>
  </si>
  <si>
    <t>7852 Playa Del Rey Ct</t>
  </si>
  <si>
    <t>7 Dorchester Dr</t>
  </si>
  <si>
    <t>Po Box 600086</t>
  </si>
  <si>
    <t>3726 Creek Hollow Ln</t>
  </si>
  <si>
    <t>1200 Brickell Ave #1950</t>
  </si>
  <si>
    <t>1832 Callahan St</t>
  </si>
  <si>
    <t>10434 Dexter Dr W</t>
  </si>
  <si>
    <t>280 S Ronald Reagan Blvd #200</t>
  </si>
  <si>
    <t>5291 Collins Rd #154</t>
  </si>
  <si>
    <t>500 Brickell Ave #2200</t>
  </si>
  <si>
    <t>11478 Soforenko Dr</t>
  </si>
  <si>
    <t>3973 Alhambra Dr W</t>
  </si>
  <si>
    <t>6301 Indian School Rd Ne #614</t>
  </si>
  <si>
    <t>10467 Llah Rd</t>
  </si>
  <si>
    <t>1115 Broadway #10th</t>
  </si>
  <si>
    <t>16492 Boatswain Cir</t>
  </si>
  <si>
    <t>2674 Allsborough Way</t>
  </si>
  <si>
    <t>40 Marietta St Nw</t>
  </si>
  <si>
    <t>35718 Se 3rd Cir</t>
  </si>
  <si>
    <t>8298 Autumnwind Dr</t>
  </si>
  <si>
    <t>2421 Mcquade St</t>
  </si>
  <si>
    <t>1831 Pleasantview Ct</t>
  </si>
  <si>
    <t>3855 America Ave</t>
  </si>
  <si>
    <t>3540 Betz Landing Dr</t>
  </si>
  <si>
    <t>2130 Park St</t>
  </si>
  <si>
    <t>593 Halsema Rd N</t>
  </si>
  <si>
    <t>1013 Centre Rd #403-A</t>
  </si>
  <si>
    <t>535 Ne 158th St</t>
  </si>
  <si>
    <t>10496 Creston Glen Cir E</t>
  </si>
  <si>
    <t>Mill Copper Hill Dr</t>
  </si>
  <si>
    <t>MAIL CITY</t>
  </si>
  <si>
    <t>Jacksonville</t>
  </si>
  <si>
    <t>Ponte Vedra Beach</t>
  </si>
  <si>
    <t>Julington Creek</t>
  </si>
  <si>
    <t>Tampa</t>
  </si>
  <si>
    <t>Orange Park</t>
  </si>
  <si>
    <t>Fleming Island</t>
  </si>
  <si>
    <t>Scottsdale</t>
  </si>
  <si>
    <t>Largo</t>
  </si>
  <si>
    <t>Jacksonville Beach</t>
  </si>
  <si>
    <t>Charlotte</t>
  </si>
  <si>
    <t>Miami</t>
  </si>
  <si>
    <t>Neptune Beach</t>
  </si>
  <si>
    <t>Hilton Head Island</t>
  </si>
  <si>
    <t>New York</t>
  </si>
  <si>
    <t>Belmont</t>
  </si>
  <si>
    <t>Cleveland</t>
  </si>
  <si>
    <t>Mc Gregor</t>
  </si>
  <si>
    <t>Riverside</t>
  </si>
  <si>
    <t>Orlando</t>
  </si>
  <si>
    <t>Saint Augustine</t>
  </si>
  <si>
    <t>Pasadena</t>
  </si>
  <si>
    <t>Austin</t>
  </si>
  <si>
    <t>Haverhill</t>
  </si>
  <si>
    <t>Santa Ana</t>
  </si>
  <si>
    <t>North Miami</t>
  </si>
  <si>
    <t>Lafayette</t>
  </si>
  <si>
    <t>Davie</t>
  </si>
  <si>
    <t>Bonne Terre</t>
  </si>
  <si>
    <t>Enoch</t>
  </si>
  <si>
    <t>Oldsmar</t>
  </si>
  <si>
    <t>Saint Johns</t>
  </si>
  <si>
    <t>Lakewood Ranch</t>
  </si>
  <si>
    <t>Piedmont</t>
  </si>
  <si>
    <t>Hallandale Beach</t>
  </si>
  <si>
    <t>Augusta</t>
  </si>
  <si>
    <t>Greystone Park</t>
  </si>
  <si>
    <t>Milford</t>
  </si>
  <si>
    <t>Fort Lauderdale</t>
  </si>
  <si>
    <t>Boynton Beach</t>
  </si>
  <si>
    <t>Buttonwillow</t>
  </si>
  <si>
    <t>Quail Heights</t>
  </si>
  <si>
    <t>Middleburg</t>
  </si>
  <si>
    <t>Citrus Heights</t>
  </si>
  <si>
    <t>Newport Beach</t>
  </si>
  <si>
    <t>Dover</t>
  </si>
  <si>
    <t>Coral Springs</t>
  </si>
  <si>
    <t>Green Cove Springs</t>
  </si>
  <si>
    <t>Bumpass</t>
  </si>
  <si>
    <t>Venus</t>
  </si>
  <si>
    <t>Oakland</t>
  </si>
  <si>
    <t>Schaumburg</t>
  </si>
  <si>
    <t>Canoga Park</t>
  </si>
  <si>
    <t>Miami Beach</t>
  </si>
  <si>
    <t>Olympia Heights</t>
  </si>
  <si>
    <t>Corona</t>
  </si>
  <si>
    <t>Charleston</t>
  </si>
  <si>
    <t>Cupertino</t>
  </si>
  <si>
    <t>Palm Coast</t>
  </si>
  <si>
    <t>Lehigh Acres</t>
  </si>
  <si>
    <t>Kinnear</t>
  </si>
  <si>
    <t>Brooklyn</t>
  </si>
  <si>
    <t>Berkeley Lake</t>
  </si>
  <si>
    <t>Sugar Land</t>
  </si>
  <si>
    <t>Wilmington</t>
  </si>
  <si>
    <t>Sherman Oaks</t>
  </si>
  <si>
    <t>North Port</t>
  </si>
  <si>
    <t>Las Vegas</t>
  </si>
  <si>
    <t>Roseland</t>
  </si>
  <si>
    <t>San Ramon</t>
  </si>
  <si>
    <t>Glendale</t>
  </si>
  <si>
    <t>Ybor City</t>
  </si>
  <si>
    <t>Chicago</t>
  </si>
  <si>
    <t>Portland</t>
  </si>
  <si>
    <t>Westminster</t>
  </si>
  <si>
    <t>Forest Hills</t>
  </si>
  <si>
    <t>Valley Glen</t>
  </si>
  <si>
    <t>Sarasota</t>
  </si>
  <si>
    <t>Winter Park</t>
  </si>
  <si>
    <t>Tallahassee</t>
  </si>
  <si>
    <t>Doral</t>
  </si>
  <si>
    <t>Macclenny</t>
  </si>
  <si>
    <t>Canton</t>
  </si>
  <si>
    <t>Hollywood</t>
  </si>
  <si>
    <t>Longmont</t>
  </si>
  <si>
    <t>Cornell</t>
  </si>
  <si>
    <t>Dublin</t>
  </si>
  <si>
    <t>Taylor</t>
  </si>
  <si>
    <t>Antioch</t>
  </si>
  <si>
    <t>Jewell</t>
  </si>
  <si>
    <t>Marietta</t>
  </si>
  <si>
    <t>Lithia</t>
  </si>
  <si>
    <t>Glenville</t>
  </si>
  <si>
    <t>Melbourne</t>
  </si>
  <si>
    <t>Buzzards Bay</t>
  </si>
  <si>
    <t>Melrose</t>
  </si>
  <si>
    <t>Novi</t>
  </si>
  <si>
    <t>Atlantic Beach</t>
  </si>
  <si>
    <t>Wakefield</t>
  </si>
  <si>
    <t>Brentwood</t>
  </si>
  <si>
    <t>Greer</t>
  </si>
  <si>
    <t>Latham</t>
  </si>
  <si>
    <t>Kingsville</t>
  </si>
  <si>
    <t>Dayton</t>
  </si>
  <si>
    <t>Lake City</t>
  </si>
  <si>
    <t>Albuquerque</t>
  </si>
  <si>
    <t>Miami Springs</t>
  </si>
  <si>
    <t>Nes Ziona</t>
  </si>
  <si>
    <t>Upper Marlboro</t>
  </si>
  <si>
    <t>Fremont</t>
  </si>
  <si>
    <t>Eugene</t>
  </si>
  <si>
    <t>Tarpon Springs</t>
  </si>
  <si>
    <t>Long Beach</t>
  </si>
  <si>
    <t>Manteca</t>
  </si>
  <si>
    <t>Boca Raton</t>
  </si>
  <si>
    <t>Shawnee Hills</t>
  </si>
  <si>
    <t>Duxbury</t>
  </si>
  <si>
    <t>Gainesville</t>
  </si>
  <si>
    <t>Salt Lake City</t>
  </si>
  <si>
    <t>Raleigh</t>
  </si>
  <si>
    <t>Port Orange</t>
  </si>
  <si>
    <t>Yulee</t>
  </si>
  <si>
    <t>Smithtown</t>
  </si>
  <si>
    <t>Discovery Bay</t>
  </si>
  <si>
    <t>Saint George</t>
  </si>
  <si>
    <t>Elizabeth</t>
  </si>
  <si>
    <t>San Marcos</t>
  </si>
  <si>
    <t>San Francisco</t>
  </si>
  <si>
    <t>Fort Mckavett</t>
  </si>
  <si>
    <t>Belmar</t>
  </si>
  <si>
    <t>Aventura</t>
  </si>
  <si>
    <t>Belleair Bluffs</t>
  </si>
  <si>
    <t>Smyrna</t>
  </si>
  <si>
    <t>Royal Palm Beach</t>
  </si>
  <si>
    <t>Glenn Heights</t>
  </si>
  <si>
    <t>Woodbridge</t>
  </si>
  <si>
    <t>Schererville</t>
  </si>
  <si>
    <t>Sheridan</t>
  </si>
  <si>
    <t>Irvine</t>
  </si>
  <si>
    <t>Fort Worth</t>
  </si>
  <si>
    <t>Decatur</t>
  </si>
  <si>
    <t>Plantation</t>
  </si>
  <si>
    <t>San Jose</t>
  </si>
  <si>
    <t>Buffalo</t>
  </si>
  <si>
    <t>Laurel Hill</t>
  </si>
  <si>
    <t>East Windsor</t>
  </si>
  <si>
    <t>Callahan</t>
  </si>
  <si>
    <t>Ann Arbor</t>
  </si>
  <si>
    <t>St Petersburg</t>
  </si>
  <si>
    <t>Monticello</t>
  </si>
  <si>
    <t>Chesterfield</t>
  </si>
  <si>
    <t>Ramat Gan</t>
  </si>
  <si>
    <t>Gladwyne</t>
  </si>
  <si>
    <t>Orlo Vista</t>
  </si>
  <si>
    <t>Atlanta</t>
  </si>
  <si>
    <t>Weeki Wachee</t>
  </si>
  <si>
    <t>Port Saint Lucie</t>
  </si>
  <si>
    <t>Atascocita</t>
  </si>
  <si>
    <t>Madeira</t>
  </si>
  <si>
    <t>Phoenix</t>
  </si>
  <si>
    <t>Los Angeles</t>
  </si>
  <si>
    <t>Pensacola</t>
  </si>
  <si>
    <t>Edgewood</t>
  </si>
  <si>
    <t>Far Rockaway</t>
  </si>
  <si>
    <t>Airmont</t>
  </si>
  <si>
    <t>Sunny Isles Beach</t>
  </si>
  <si>
    <t>Longwood</t>
  </si>
  <si>
    <t>Palm City</t>
  </si>
  <si>
    <t>Dacula</t>
  </si>
  <si>
    <t>Washougal</t>
  </si>
  <si>
    <t>Elsmere</t>
  </si>
  <si>
    <t>Uleta</t>
  </si>
  <si>
    <t>MAIL STATE</t>
  </si>
  <si>
    <t>FL</t>
  </si>
  <si>
    <t>AZ</t>
  </si>
  <si>
    <t>NC</t>
  </si>
  <si>
    <t>SC</t>
  </si>
  <si>
    <t>NY</t>
  </si>
  <si>
    <t>CA</t>
  </si>
  <si>
    <t>OH</t>
  </si>
  <si>
    <t>IA</t>
  </si>
  <si>
    <t>IL</t>
  </si>
  <si>
    <t>TX</t>
  </si>
  <si>
    <t>MO</t>
  </si>
  <si>
    <t>UT</t>
  </si>
  <si>
    <t>GA</t>
  </si>
  <si>
    <t>NJ</t>
  </si>
  <si>
    <t>CT</t>
  </si>
  <si>
    <t>DE</t>
  </si>
  <si>
    <t>VA</t>
  </si>
  <si>
    <t>WY</t>
  </si>
  <si>
    <t>NV</t>
  </si>
  <si>
    <t>OR</t>
  </si>
  <si>
    <t>CO</t>
  </si>
  <si>
    <t>MI</t>
  </si>
  <si>
    <t>TN</t>
  </si>
  <si>
    <t>WV</t>
  </si>
  <si>
    <t>MA</t>
  </si>
  <si>
    <t>NM</t>
  </si>
  <si>
    <t>NE</t>
  </si>
  <si>
    <t>MD</t>
  </si>
  <si>
    <t>IN</t>
  </si>
  <si>
    <t>PA</t>
  </si>
  <si>
    <t>WA</t>
  </si>
  <si>
    <t>MAIL ZIP CODE</t>
  </si>
  <si>
    <t>PROPERTY ADDRESS</t>
  </si>
  <si>
    <t>1828 Bertha St</t>
  </si>
  <si>
    <t>2414 University Blvd W</t>
  </si>
  <si>
    <t>8922 Eaton Ave</t>
  </si>
  <si>
    <t>7042 Prellie St</t>
  </si>
  <si>
    <t>741 Brazeale Ln</t>
  </si>
  <si>
    <t>592 Celebrity Ct</t>
  </si>
  <si>
    <t>969 Chapman Dr</t>
  </si>
  <si>
    <t>8504 Long Meadow Ct</t>
  </si>
  <si>
    <t>933 Briarcreek Rd</t>
  </si>
  <si>
    <t>6308 Saradale Ct</t>
  </si>
  <si>
    <t>6852 Coralberry Ln S</t>
  </si>
  <si>
    <t>7410 Sweet Rose Ln</t>
  </si>
  <si>
    <t>14606 Bracknell Ct</t>
  </si>
  <si>
    <t>5917 Creed Ct</t>
  </si>
  <si>
    <t>4639 Aberdare Ave N</t>
  </si>
  <si>
    <t>2530 Green Spring Dr</t>
  </si>
  <si>
    <t>9999 Old Lem Turner Rd</t>
  </si>
  <si>
    <t>13842 Harbor Creek Pl</t>
  </si>
  <si>
    <t>6503 Parvin Dr</t>
  </si>
  <si>
    <t>438 W 22nd St</t>
  </si>
  <si>
    <t>10782 Kuralei Dr</t>
  </si>
  <si>
    <t>447 W 63rd St</t>
  </si>
  <si>
    <t>4431 Victor St</t>
  </si>
  <si>
    <t>4004 Scott Woods Dr S</t>
  </si>
  <si>
    <t>8269 Sanlando Ave</t>
  </si>
  <si>
    <t>6321 Mercado Dr</t>
  </si>
  <si>
    <t>3028 Lantana Lakes Dr E</t>
  </si>
  <si>
    <t>2953 Lantana Lakes Dr W</t>
  </si>
  <si>
    <t>3737 Peach Dr</t>
  </si>
  <si>
    <t>1352 Pine Grove Ct</t>
  </si>
  <si>
    <t>458 W 65th St</t>
  </si>
  <si>
    <t>11552 Saint Josephs Rd</t>
  </si>
  <si>
    <t>4326 Boat Club Dr</t>
  </si>
  <si>
    <t>11259 Kingsley Manor Way</t>
  </si>
  <si>
    <t>1554 Ida St</t>
  </si>
  <si>
    <t>2149 The Woods Dr E</t>
  </si>
  <si>
    <t>5566 Alpha Ave</t>
  </si>
  <si>
    <t>2290 Mission Creek Dr</t>
  </si>
  <si>
    <t>3140 Turton Ave</t>
  </si>
  <si>
    <t>98 W 21st St</t>
  </si>
  <si>
    <t>2304 Gayland Rd</t>
  </si>
  <si>
    <t>57 Beckwith St</t>
  </si>
  <si>
    <t>9527 Priory Ave</t>
  </si>
  <si>
    <t>5929 Seaboard Ave</t>
  </si>
  <si>
    <t>960 Westgate Dr</t>
  </si>
  <si>
    <t>3119 Dolly Dr</t>
  </si>
  <si>
    <t>9941 Margate Hills Rd</t>
  </si>
  <si>
    <t>6022 Dorminy Ave</t>
  </si>
  <si>
    <t>8324 Manavista St</t>
  </si>
  <si>
    <t>4441 Marquette Ave</t>
  </si>
  <si>
    <t>3951 Baltic St</t>
  </si>
  <si>
    <t>11037 Ashford Gable Pl</t>
  </si>
  <si>
    <t>2809 Synhoff Dr W</t>
  </si>
  <si>
    <t>4926 Meganwood Ln</t>
  </si>
  <si>
    <t>6653 Brandemere Rd N</t>
  </si>
  <si>
    <t>4843 Ramona Blvd</t>
  </si>
  <si>
    <t>11861 Lake Fern Dr</t>
  </si>
  <si>
    <t>3319 Tinya Ct</t>
  </si>
  <si>
    <t>3425 Columbus Ave</t>
  </si>
  <si>
    <t>6504 Bartholf Ave</t>
  </si>
  <si>
    <t>1448 Parental Home Rd</t>
  </si>
  <si>
    <t>2231 Lane Ave S</t>
  </si>
  <si>
    <t>5211 Glenwood Ave</t>
  </si>
  <si>
    <t>11503 Pine Forest Ct</t>
  </si>
  <si>
    <t>5919 Oaklane Dr</t>
  </si>
  <si>
    <t>1508 Ferndale Pl</t>
  </si>
  <si>
    <t>6625 Aline Rd</t>
  </si>
  <si>
    <t>11324 Rustic Green Ct</t>
  </si>
  <si>
    <t>3212 Post St</t>
  </si>
  <si>
    <t>10982 Traci Lynn Dr</t>
  </si>
  <si>
    <t>1226 Briarcliff Rd S</t>
  </si>
  <si>
    <t>5830 Michigan Ave</t>
  </si>
  <si>
    <t>1059 Willis Dr</t>
  </si>
  <si>
    <t>8962 Monroe Ave</t>
  </si>
  <si>
    <t>1831 Woodmere Dr</t>
  </si>
  <si>
    <t>9815 Norfolk Blvd</t>
  </si>
  <si>
    <t>10641 Ballestero Dr E</t>
  </si>
  <si>
    <t>2008 Allandale Cir W</t>
  </si>
  <si>
    <t>11923 Huge Evergreen Ct</t>
  </si>
  <si>
    <t>7740 Andes Dr</t>
  </si>
  <si>
    <t>8645 Blackhaw Ct</t>
  </si>
  <si>
    <t>7851 Spanish Oaks Dr</t>
  </si>
  <si>
    <t>8439 Barcelona Ave</t>
  </si>
  <si>
    <t>609 Glynlea Rd</t>
  </si>
  <si>
    <t>7866 Hogan Settlement Rd</t>
  </si>
  <si>
    <t>6309 Ricker Rd</t>
  </si>
  <si>
    <t>258 E 45th St</t>
  </si>
  <si>
    <t>7636 Stuart Ave</t>
  </si>
  <si>
    <t>4922 Mississippi Ct</t>
  </si>
  <si>
    <t>3833 Edidin Dr</t>
  </si>
  <si>
    <t>1919 N Myrtle Ave</t>
  </si>
  <si>
    <t>1084 Cherry St</t>
  </si>
  <si>
    <t>2835 Selma St</t>
  </si>
  <si>
    <t>5124 Roanoke Blvd</t>
  </si>
  <si>
    <t>1364 Morgana Rd</t>
  </si>
  <si>
    <t>1043 Seba St</t>
  </si>
  <si>
    <t>5406 Matanzas Way</t>
  </si>
  <si>
    <t>5327 Astral St</t>
  </si>
  <si>
    <t>1739 Girvin Rd</t>
  </si>
  <si>
    <t>7990 Carlotta Rd S</t>
  </si>
  <si>
    <t>7178 Eudine Dr S</t>
  </si>
  <si>
    <t>7046 Arques Rd</t>
  </si>
  <si>
    <t>6322 Bartholf Ave</t>
  </si>
  <si>
    <t>5813 Doeboy St</t>
  </si>
  <si>
    <t>846 Eastport Rd</t>
  </si>
  <si>
    <t>5228 Boilard Dr</t>
  </si>
  <si>
    <t>7109 Beekman Lake Dr S</t>
  </si>
  <si>
    <t>8235 Buttercup St</t>
  </si>
  <si>
    <t>223 W 67th St</t>
  </si>
  <si>
    <t>1284 Belvedere Ave</t>
  </si>
  <si>
    <t>510 Woodbine St</t>
  </si>
  <si>
    <t>10652 Craig Dr</t>
  </si>
  <si>
    <t>11216 Inez Dr</t>
  </si>
  <si>
    <t>2255 W 2nd St</t>
  </si>
  <si>
    <t>3342 Saint Nicholas Ave</t>
  </si>
  <si>
    <t>6157 Royal Estates Pl</t>
  </si>
  <si>
    <t>1007 S Shores Rd</t>
  </si>
  <si>
    <t>9336 Blunder Rd</t>
  </si>
  <si>
    <t>4148 Tideview Dr</t>
  </si>
  <si>
    <t>11411 Elane Dr</t>
  </si>
  <si>
    <t>4568 Sussex Ave</t>
  </si>
  <si>
    <t>12136 Debarah Rd</t>
  </si>
  <si>
    <t>2415 Ribault Scenic Dr</t>
  </si>
  <si>
    <t>8340 Earl Cir W</t>
  </si>
  <si>
    <t>1260 Kennard St</t>
  </si>
  <si>
    <t>4143 Spring Glen Rd</t>
  </si>
  <si>
    <t>2543 Lewis St</t>
  </si>
  <si>
    <t>1177 Starratt Rd</t>
  </si>
  <si>
    <t>7339 San Carlos Rd</t>
  </si>
  <si>
    <t>2931 Donna Dr</t>
  </si>
  <si>
    <t>11565 Tyndel Creek Ln</t>
  </si>
  <si>
    <t>8602 Collins Ridge Blvd S</t>
  </si>
  <si>
    <t>12940 Fringetree Dr W</t>
  </si>
  <si>
    <t>2109 Brighton Bay Trl</t>
  </si>
  <si>
    <t>10833 Liscard Rd S</t>
  </si>
  <si>
    <t>5550 Autumnbrook Ct</t>
  </si>
  <si>
    <t>1618 Beverly Bay Ct</t>
  </si>
  <si>
    <t>2935 Oakcove Ln</t>
  </si>
  <si>
    <t>8067 Santillo Dr</t>
  </si>
  <si>
    <t>2121 Prospect St</t>
  </si>
  <si>
    <t>5217 Secluded Oaks Ln</t>
  </si>
  <si>
    <t>2063 Oak Water Dr</t>
  </si>
  <si>
    <t>3794 Saltmeadow Ct S</t>
  </si>
  <si>
    <t>1448 Cedar Bay Rd</t>
  </si>
  <si>
    <t>13474 Foxwood Height Cir E</t>
  </si>
  <si>
    <t>5577 Heckscher Dr</t>
  </si>
  <si>
    <t>7636 Berry Ave</t>
  </si>
  <si>
    <t>1387 Dakar St</t>
  </si>
  <si>
    <t>4314 Pinewood Ave</t>
  </si>
  <si>
    <t>5803 Paris Ave</t>
  </si>
  <si>
    <t>6814 Cavalier Rd</t>
  </si>
  <si>
    <t>9118 Greenleaf Rd</t>
  </si>
  <si>
    <t>5323 Baycrest Rd</t>
  </si>
  <si>
    <t>8779 Garden St</t>
  </si>
  <si>
    <t>7009 Welland Rd</t>
  </si>
  <si>
    <t>1203 Dancy St</t>
  </si>
  <si>
    <t>11302 Alta Dr</t>
  </si>
  <si>
    <t>4230 Springwood Rd</t>
  </si>
  <si>
    <t>12516 Herblore Dr</t>
  </si>
  <si>
    <t>972 Cornwallis Dr</t>
  </si>
  <si>
    <t>3145 Sweetwater Oaks Dr S</t>
  </si>
  <si>
    <t>9134 10th Ave</t>
  </si>
  <si>
    <t>8245 Colville St</t>
  </si>
  <si>
    <t>421 Smith St</t>
  </si>
  <si>
    <t>869 Bunker Hill Blvd</t>
  </si>
  <si>
    <t>2831 W 5th St</t>
  </si>
  <si>
    <t>6986 Goldilocks Ln</t>
  </si>
  <si>
    <t>322 Sterling Hill Dr</t>
  </si>
  <si>
    <t>2127 Allandale Cir E</t>
  </si>
  <si>
    <t>12671 Misty Mountain Dr E</t>
  </si>
  <si>
    <t>2427 Lantana Ave</t>
  </si>
  <si>
    <t>8811 Yeoman Dr</t>
  </si>
  <si>
    <t>10730 Wake Forest Ave</t>
  </si>
  <si>
    <t>743 Trambley Dr E</t>
  </si>
  <si>
    <t>12434 Gately Oaks Ln E</t>
  </si>
  <si>
    <t>2600 Riverport Dr S</t>
  </si>
  <si>
    <t>3503 W 1st St</t>
  </si>
  <si>
    <t>4003 Dalry Dr</t>
  </si>
  <si>
    <t>12049 Arbor Lake Dr</t>
  </si>
  <si>
    <t>8556 Turkey Oaks Dr S</t>
  </si>
  <si>
    <t>2452 White Horse Rd W</t>
  </si>
  <si>
    <t>3364 Maiden Voyage Cir S</t>
  </si>
  <si>
    <t>6776 Daughtry Blvd S</t>
  </si>
  <si>
    <t>2536 Burlingame Dr W</t>
  </si>
  <si>
    <t>1058 Glencarin St</t>
  </si>
  <si>
    <t>7930 Manata St</t>
  </si>
  <si>
    <t>1405 Donald St</t>
  </si>
  <si>
    <t>2262 Placeda St</t>
  </si>
  <si>
    <t>8202 April St</t>
  </si>
  <si>
    <t>2642 Iroquois Ave</t>
  </si>
  <si>
    <t>1731 Mandarin Estates Dr</t>
  </si>
  <si>
    <t>2784 Post St</t>
  </si>
  <si>
    <t>3582 Riverside Ave</t>
  </si>
  <si>
    <t>2418 Lotus Rd E</t>
  </si>
  <si>
    <t>1424 E 30th St</t>
  </si>
  <si>
    <t>6531 Hand Ln</t>
  </si>
  <si>
    <t>2780 Sunnyside St</t>
  </si>
  <si>
    <t>2002 Saint Clair St</t>
  </si>
  <si>
    <t>5148 San Juan Ave</t>
  </si>
  <si>
    <t>1044 E 14th St</t>
  </si>
  <si>
    <t>7846 Galveston Ave</t>
  </si>
  <si>
    <t>2552 Treemont St</t>
  </si>
  <si>
    <t>1920 University Blvd S</t>
  </si>
  <si>
    <t>2231 Faws St</t>
  </si>
  <si>
    <t>6921 Restlawn Dr</t>
  </si>
  <si>
    <t>8145 Cocoa Ave</t>
  </si>
  <si>
    <t>5952 Terry Parker Dr S</t>
  </si>
  <si>
    <t>4504 San Clerc Rd</t>
  </si>
  <si>
    <t>1440 Highland Ave</t>
  </si>
  <si>
    <t>3900 Dalry Dr</t>
  </si>
  <si>
    <t>2103 W 44th St</t>
  </si>
  <si>
    <t>3023 Cesery Blvd</t>
  </si>
  <si>
    <t>1168 W 30th St</t>
  </si>
  <si>
    <t>1744 New Haven Rd</t>
  </si>
  <si>
    <t>3951 Moss Oak Dr</t>
  </si>
  <si>
    <t>13517 Crashaw Rd</t>
  </si>
  <si>
    <t>6108 Lone Star Rd</t>
  </si>
  <si>
    <t>13482 Aquiline Rd</t>
  </si>
  <si>
    <t>6607 Old Kings Rd</t>
  </si>
  <si>
    <t>10913 Pine Acres Rd</t>
  </si>
  <si>
    <t>2578 Carson Oaks Dr</t>
  </si>
  <si>
    <t>1710 W 15th St</t>
  </si>
  <si>
    <t>16007 Shellcracker Rd</t>
  </si>
  <si>
    <t>2810 Harvard Ave</t>
  </si>
  <si>
    <t>7259 Sharbeth Dr S</t>
  </si>
  <si>
    <t>6548 Arancio Dr W</t>
  </si>
  <si>
    <t>6125 Duke Rd</t>
  </si>
  <si>
    <t>5825 Hyde Park Cir</t>
  </si>
  <si>
    <t>6728 East Rd</t>
  </si>
  <si>
    <t>1108 Odessa St</t>
  </si>
  <si>
    <t>427 Sanwick Dr</t>
  </si>
  <si>
    <t>7204 Balboa Rd</t>
  </si>
  <si>
    <t>9903 Hood Rd</t>
  </si>
  <si>
    <t>3516 Deer St</t>
  </si>
  <si>
    <t>1015 Mantes Ave</t>
  </si>
  <si>
    <t>4421 Steamboat Springs Dr E</t>
  </si>
  <si>
    <t>7205 Beekman Lake Dr S</t>
  </si>
  <si>
    <t>5830 Adventure Ln</t>
  </si>
  <si>
    <t>7647 Mccowan Dr</t>
  </si>
  <si>
    <t>5569 Long Branch Rd</t>
  </si>
  <si>
    <t>2981 Mikris Dr E</t>
  </si>
  <si>
    <t>5221 Hoof Print Dr N</t>
  </si>
  <si>
    <t>2857 Lantana Lakes Dr E</t>
  </si>
  <si>
    <t>2982 Collier Ave</t>
  </si>
  <si>
    <t>7025 Camelot Rd</t>
  </si>
  <si>
    <t>7076 Holiday Hill Ct</t>
  </si>
  <si>
    <t>1201 Cassat Ave</t>
  </si>
  <si>
    <t>5530 Beney Rd</t>
  </si>
  <si>
    <t>954 Hamilton St</t>
  </si>
  <si>
    <t>4640 French St</t>
  </si>
  <si>
    <t>4633 Crescent St</t>
  </si>
  <si>
    <t>7211 N Pearl St</t>
  </si>
  <si>
    <t>1743 Wright Ave</t>
  </si>
  <si>
    <t>10125 Old Kings Rd</t>
  </si>
  <si>
    <t>1545 E 24th St</t>
  </si>
  <si>
    <t>1033 Depaul Dr</t>
  </si>
  <si>
    <t>1117 Riviera St</t>
  </si>
  <si>
    <t>6628 Bennett Rd</t>
  </si>
  <si>
    <t>1916 Thacker Ave</t>
  </si>
  <si>
    <t>5143 Banshee Ave</t>
  </si>
  <si>
    <t>2981 Riverside Ave</t>
  </si>
  <si>
    <t>9490 Sandler Rd</t>
  </si>
  <si>
    <t>3611 Newcomb Rd</t>
  </si>
  <si>
    <t>6310 Pine Summit Dr</t>
  </si>
  <si>
    <t>2169 Broadway Ave</t>
  </si>
  <si>
    <t>1524 Seminole Rd</t>
  </si>
  <si>
    <t>8342 Calento St</t>
  </si>
  <si>
    <t>10627 Craig Dr</t>
  </si>
  <si>
    <t>12448 Sapp Rd</t>
  </si>
  <si>
    <t>7130 Arlet Dr</t>
  </si>
  <si>
    <t>2033 Melson Ave</t>
  </si>
  <si>
    <t>4612 Roanoke Blvd</t>
  </si>
  <si>
    <t>2201 Pierce Arrow Dr</t>
  </si>
  <si>
    <t>14271 Hawksmore Ln</t>
  </si>
  <si>
    <t>7407 Greenway Dr</t>
  </si>
  <si>
    <t>9235 Devonshire Blvd</t>
  </si>
  <si>
    <t>3403 Stanley St</t>
  </si>
  <si>
    <t>2950 Tinsley Rd</t>
  </si>
  <si>
    <t>6345 Sprinkle Dr N</t>
  </si>
  <si>
    <t>7710 Mariner St</t>
  </si>
  <si>
    <t>8001 Copperfield Cir N</t>
  </si>
  <si>
    <t>3428 Fitch St</t>
  </si>
  <si>
    <t>2140 East Rd</t>
  </si>
  <si>
    <t>3017 Peach Dr</t>
  </si>
  <si>
    <t>1138 E 14th St</t>
  </si>
  <si>
    <t>12180 Bayonne St</t>
  </si>
  <si>
    <t>4752 Great Western Ln S</t>
  </si>
  <si>
    <t>6303 Shady Oak Dr</t>
  </si>
  <si>
    <t>12610 Quarterhorse Trl</t>
  </si>
  <si>
    <t>4527 Hercules Ave</t>
  </si>
  <si>
    <t>4559 Middleton Park Cir W</t>
  </si>
  <si>
    <t>8102 Blazing Star Rd</t>
  </si>
  <si>
    <t>1119 Scotten Rd</t>
  </si>
  <si>
    <t>6131 Suwanee Rd</t>
  </si>
  <si>
    <t>4116 Peachtree Cir E</t>
  </si>
  <si>
    <t>6505 Kinlock Dr</t>
  </si>
  <si>
    <t>4315 Coquina Dr</t>
  </si>
  <si>
    <t>265 E 47th St</t>
  </si>
  <si>
    <t>2896 Dignan St</t>
  </si>
  <si>
    <t>2029 Ernest St</t>
  </si>
  <si>
    <t>4814 Polaris St</t>
  </si>
  <si>
    <t>5746 Fiat Ln</t>
  </si>
  <si>
    <t>738 Brookmont Ave E</t>
  </si>
  <si>
    <t>1517 Moody St</t>
  </si>
  <si>
    <t>1280 Crestwood St</t>
  </si>
  <si>
    <t>2116 Leonid Rd</t>
  </si>
  <si>
    <t>1942 Valens Dr E</t>
  </si>
  <si>
    <t>4161 Tradewinds Dr</t>
  </si>
  <si>
    <t>2436 Red Oak Dr</t>
  </si>
  <si>
    <t>1234 Plymouth Pl</t>
  </si>
  <si>
    <t>7980 Macinnes Dr</t>
  </si>
  <si>
    <t>6749 Oakwood Dr</t>
  </si>
  <si>
    <t>2204 Eudine Dr W</t>
  </si>
  <si>
    <t>2125 Ronald Ln</t>
  </si>
  <si>
    <t>2862 Searchwood Dr</t>
  </si>
  <si>
    <t>3629 Drexel St</t>
  </si>
  <si>
    <t>5328 Playa Way</t>
  </si>
  <si>
    <t>3651 Ernest St</t>
  </si>
  <si>
    <t>958 Pheasant Dr</t>
  </si>
  <si>
    <t>10831 Majuro Dr</t>
  </si>
  <si>
    <t>12321 Cobblestone Cir S</t>
  </si>
  <si>
    <t>1148 Brookwood Bluff Rd E</t>
  </si>
  <si>
    <t>1555 Aletha Dr</t>
  </si>
  <si>
    <t>3072 Bridlewood Ln</t>
  </si>
  <si>
    <t>3146 Nolan St</t>
  </si>
  <si>
    <t>6848 Morse Oaks Dr</t>
  </si>
  <si>
    <t>1210 Jean Ct</t>
  </si>
  <si>
    <t>11876 Narrow Oak Ln S</t>
  </si>
  <si>
    <t>12381 Sondra Cove Trl N</t>
  </si>
  <si>
    <t>1519 King Arthur Rd</t>
  </si>
  <si>
    <t>2544 Springmont St</t>
  </si>
  <si>
    <t>4927 Doncaster Ave</t>
  </si>
  <si>
    <t>4919 Avent Dr</t>
  </si>
  <si>
    <t>2207 East Rd</t>
  </si>
  <si>
    <t>5805 Renault Dr W</t>
  </si>
  <si>
    <t>6533 Burgundy Rd S</t>
  </si>
  <si>
    <t>9149 Arundel Way</t>
  </si>
  <si>
    <t>4426 Bessie Cir W</t>
  </si>
  <si>
    <t>7944 India Ave</t>
  </si>
  <si>
    <t>4202 Goldie St</t>
  </si>
  <si>
    <t>4752 Kerle St</t>
  </si>
  <si>
    <t>3641 Abby Ln</t>
  </si>
  <si>
    <t>359 W 67th St</t>
  </si>
  <si>
    <t>903 Heritage Lakes Dr</t>
  </si>
  <si>
    <t>2431 Ridgewood Rd</t>
  </si>
  <si>
    <t>3229 Percy Rd</t>
  </si>
  <si>
    <t>5870 Thurgood Cir S</t>
  </si>
  <si>
    <t>4337 Lake Woodbourne Dr S</t>
  </si>
  <si>
    <t>2403 Ribault Scenic Dr</t>
  </si>
  <si>
    <t>5934 Longchamp Dr</t>
  </si>
  <si>
    <t>6726 Newgate Cir E</t>
  </si>
  <si>
    <t>3375 Viceroy Dr N</t>
  </si>
  <si>
    <t>2867 Lantana Lakes Dr W</t>
  </si>
  <si>
    <t>5756 Sullivan Ln</t>
  </si>
  <si>
    <t>2211 Patou Dr W</t>
  </si>
  <si>
    <t>3113 Kline Rd</t>
  </si>
  <si>
    <t>1621 Belmonte Ave</t>
  </si>
  <si>
    <t>7519 Impala Ln</t>
  </si>
  <si>
    <t>6760 Marion Ct S</t>
  </si>
  <si>
    <t>1019 Lark St</t>
  </si>
  <si>
    <t>2920 Dupont Ave</t>
  </si>
  <si>
    <t>5579 Milmar Dr S</t>
  </si>
  <si>
    <t>429 Sunset Dr</t>
  </si>
  <si>
    <t>13777 Normandy Blvd</t>
  </si>
  <si>
    <t>1920 Bulls Bay Hwy</t>
  </si>
  <si>
    <t>13508 Collen Rd</t>
  </si>
  <si>
    <t>1627 Friar Rd</t>
  </si>
  <si>
    <t>7003 Andalusia Ave</t>
  </si>
  <si>
    <t>10427 Rutgers Rd</t>
  </si>
  <si>
    <t>2658 Lowes Pl</t>
  </si>
  <si>
    <t>2762 Parental Home Rd</t>
  </si>
  <si>
    <t>1671 Gandy St</t>
  </si>
  <si>
    <t>5139 Camille Ave</t>
  </si>
  <si>
    <t>3667 Cedar Dr</t>
  </si>
  <si>
    <t>5229 Washington Estates Dr</t>
  </si>
  <si>
    <t>9165 Sibbald Rd</t>
  </si>
  <si>
    <t>3139 Tiger Hole Rd</t>
  </si>
  <si>
    <t>8133 Timber Point Dr</t>
  </si>
  <si>
    <t>5218 Astral St</t>
  </si>
  <si>
    <t>2372 2nd Ave</t>
  </si>
  <si>
    <t>441 King St</t>
  </si>
  <si>
    <t>3090 Purdom Dr</t>
  </si>
  <si>
    <t>7015 Hardenbrook Ln</t>
  </si>
  <si>
    <t>5042 Acre Estates Dr W</t>
  </si>
  <si>
    <t>8202 Osteen St</t>
  </si>
  <si>
    <t>5758 Tampico Rd</t>
  </si>
  <si>
    <t>5731 Suwanee Park Ct</t>
  </si>
  <si>
    <t>8682 San Servera Dr W</t>
  </si>
  <si>
    <t>5018 110th St</t>
  </si>
  <si>
    <t>6304 Jammes Rd</t>
  </si>
  <si>
    <t>8133 Joffre Dr</t>
  </si>
  <si>
    <t>4086 Ringneck Dr</t>
  </si>
  <si>
    <t>3894 Walsh St</t>
  </si>
  <si>
    <t>1785 Lauder Ave</t>
  </si>
  <si>
    <t>3850 Jammes Rd</t>
  </si>
  <si>
    <t>2105 Kitty St</t>
  </si>
  <si>
    <t>812 Talbot Ave</t>
  </si>
  <si>
    <t>9136 Heckscher Dr</t>
  </si>
  <si>
    <t>1160 N Durkee Dr</t>
  </si>
  <si>
    <t>1947 Witten Rd S</t>
  </si>
  <si>
    <t>1725 Lilly Rd E</t>
  </si>
  <si>
    <t>1837 Willesdon Dr E</t>
  </si>
  <si>
    <t>3553 Docksider Dr S</t>
  </si>
  <si>
    <t>5646 International Dr</t>
  </si>
  <si>
    <t>358 Key West Dr</t>
  </si>
  <si>
    <t>11618 Brush Ridge Cir N</t>
  </si>
  <si>
    <t>2203 Luana Dr E</t>
  </si>
  <si>
    <t>13523 Yellow Bluff Rd</t>
  </si>
  <si>
    <t>10994 Traci Lynn Dr</t>
  </si>
  <si>
    <t>7531 John F Kennedy Dr E</t>
  </si>
  <si>
    <t>2145 Melson Ave</t>
  </si>
  <si>
    <t>8225 Cassie Rd</t>
  </si>
  <si>
    <t>5359 Noble Cir S</t>
  </si>
  <si>
    <t>909 Jasmine Pl</t>
  </si>
  <si>
    <t>2039 Old Middleburg Rd N</t>
  </si>
  <si>
    <t>2327 Southern Ave</t>
  </si>
  <si>
    <t>2664 Kersey Dr W</t>
  </si>
  <si>
    <t>9944 Frankella Rd</t>
  </si>
  <si>
    <t>1820 Brewster Rd</t>
  </si>
  <si>
    <t>2978 Farmer Ter</t>
  </si>
  <si>
    <t>7144 Hanson Dr N</t>
  </si>
  <si>
    <t>1814 Mayfair Rd</t>
  </si>
  <si>
    <t>1856 East Rd</t>
  </si>
  <si>
    <t>507 Chestnut Dr</t>
  </si>
  <si>
    <t>8122 Buttercup St</t>
  </si>
  <si>
    <t>13432 Galway Ave</t>
  </si>
  <si>
    <t>6941 Delisle Dr</t>
  </si>
  <si>
    <t>5650 Norde Dr W</t>
  </si>
  <si>
    <t>7395 Volley Dr N</t>
  </si>
  <si>
    <t>2180 Cypress Landing Dr</t>
  </si>
  <si>
    <t>4635 Solandra Cir W</t>
  </si>
  <si>
    <t>9254 Fallsmill Dr</t>
  </si>
  <si>
    <t>2874 Selma St</t>
  </si>
  <si>
    <t>6331 Pine Summit Dr</t>
  </si>
  <si>
    <t>1573 W 9th St</t>
  </si>
  <si>
    <t>1852 Colby Ave</t>
  </si>
  <si>
    <t>1411 Bellemeade Blvd</t>
  </si>
  <si>
    <t>1809 Louvre Dr</t>
  </si>
  <si>
    <t>2441 Coleman Ct</t>
  </si>
  <si>
    <t>8903 Washington Ave</t>
  </si>
  <si>
    <t>4810 Julington Creek Rd</t>
  </si>
  <si>
    <t>5979 Heckscher Dr</t>
  </si>
  <si>
    <t>7223 Midway Rd</t>
  </si>
  <si>
    <t>6627 Kinlock Dr</t>
  </si>
  <si>
    <t>5626 Ricker Rd</t>
  </si>
  <si>
    <t>3138 W 6th St</t>
  </si>
  <si>
    <t>5671 Verbena Rd</t>
  </si>
  <si>
    <t>1104 Boca Grande Ave</t>
  </si>
  <si>
    <t>8848 Macarthur Ct S</t>
  </si>
  <si>
    <t>2569 Woodfern Ln</t>
  </si>
  <si>
    <t>12040 Versailles St</t>
  </si>
  <si>
    <t>4652 Pinewood Rd</t>
  </si>
  <si>
    <t>853 Melson Ave</t>
  </si>
  <si>
    <t>3733 Planters Creek Cir E</t>
  </si>
  <si>
    <t>5463 Allamanda Dr</t>
  </si>
  <si>
    <t>6921 Dayton Rd</t>
  </si>
  <si>
    <t>2420 Fernside Rd</t>
  </si>
  <si>
    <t>5875 Spellman Rd</t>
  </si>
  <si>
    <t>2624 Clyde Dr</t>
  </si>
  <si>
    <t>3353 Dellwood Ave</t>
  </si>
  <si>
    <t>4648 Shelby Ave</t>
  </si>
  <si>
    <t>5465 Carrin Ln</t>
  </si>
  <si>
    <t>2624 Ligustrum Rd</t>
  </si>
  <si>
    <t>1556 Monument Oaks Dr</t>
  </si>
  <si>
    <t>1669 Hudderfield Cir W</t>
  </si>
  <si>
    <t>1350 Cove Landing Dr</t>
  </si>
  <si>
    <t>985 Hyannis Port Dr</t>
  </si>
  <si>
    <t>1144 W 22nd St</t>
  </si>
  <si>
    <t>9737 Jupiter Ct S</t>
  </si>
  <si>
    <t>9170 County Road 217</t>
  </si>
  <si>
    <t>3129 Jones Rd</t>
  </si>
  <si>
    <t>9909 Arnold Rd</t>
  </si>
  <si>
    <t>247 W 45th St</t>
  </si>
  <si>
    <t>2233 Bourget Dr</t>
  </si>
  <si>
    <t>4440 Melvin Cir E</t>
  </si>
  <si>
    <t>10034 Kings Crossing Dr</t>
  </si>
  <si>
    <t>2148 Felch Ave</t>
  </si>
  <si>
    <t>4152 Markin Dr W</t>
  </si>
  <si>
    <t>1728 W 5th St</t>
  </si>
  <si>
    <t>2526 Wattle Tree Rd W</t>
  </si>
  <si>
    <t>7255 Holiday Hill Ct</t>
  </si>
  <si>
    <t>1905 Niblick Dr</t>
  </si>
  <si>
    <t>2812 Yellow Pine Dr</t>
  </si>
  <si>
    <t>3960 Via De La Reina</t>
  </si>
  <si>
    <t>2860 Doric Ave</t>
  </si>
  <si>
    <t>207 Ponce Blvd</t>
  </si>
  <si>
    <t>6732 Zircon Dr</t>
  </si>
  <si>
    <t>7391 Wheat Rd</t>
  </si>
  <si>
    <t>687 Bridal Ave</t>
  </si>
  <si>
    <t>430 Arlington Pl</t>
  </si>
  <si>
    <t>7945 Eaton Ave</t>
  </si>
  <si>
    <t>4617 Cambridge Rd</t>
  </si>
  <si>
    <t>5403 Eulace Rd</t>
  </si>
  <si>
    <t>393 Filmore Dr</t>
  </si>
  <si>
    <t>410 W 19th St</t>
  </si>
  <si>
    <t>7414 Melvin Rd</t>
  </si>
  <si>
    <t>7123 Oakney Rd</t>
  </si>
  <si>
    <t>1220 Adrian Ct</t>
  </si>
  <si>
    <t>7838 Free Ave</t>
  </si>
  <si>
    <t>1716 East Rd</t>
  </si>
  <si>
    <t>1061 Rhonda Rd</t>
  </si>
  <si>
    <t>4724 Bedford Rd</t>
  </si>
  <si>
    <t>3647 Morton St</t>
  </si>
  <si>
    <t>5342 107th St</t>
  </si>
  <si>
    <t>1011 Glencarin St</t>
  </si>
  <si>
    <t>3822 Sudbury Ave</t>
  </si>
  <si>
    <t>2254 Fallen Tree Dr W</t>
  </si>
  <si>
    <t>11361 Songbird Lakes Ct</t>
  </si>
  <si>
    <t>7856 Renault Dr N</t>
  </si>
  <si>
    <t>12639 Old Saint Augustine Rd</t>
  </si>
  <si>
    <t>2099 Alley Rd</t>
  </si>
  <si>
    <t>6998 San Fernando Pl</t>
  </si>
  <si>
    <t>4129 Hunt St</t>
  </si>
  <si>
    <t>4776 Riverdale Rd</t>
  </si>
  <si>
    <t>3516 Myra St</t>
  </si>
  <si>
    <t>10922 Pine Acres Rd</t>
  </si>
  <si>
    <t>8021 Dandy Ave</t>
  </si>
  <si>
    <t>8225 Cheryl Ann Ln</t>
  </si>
  <si>
    <t>6049 Maple Leaf Dr N</t>
  </si>
  <si>
    <t>13910 Intracoastal Sound Dr</t>
  </si>
  <si>
    <t>8435 Country Bend Cir E</t>
  </si>
  <si>
    <t>3377 Chapel Ct</t>
  </si>
  <si>
    <t>4235 Oriely Dr</t>
  </si>
  <si>
    <t>2244 Basalt Dr E</t>
  </si>
  <si>
    <t>9614 Waynesboro Ave</t>
  </si>
  <si>
    <t>8139 Shady Grove Rd</t>
  </si>
  <si>
    <t>127 W 67th St</t>
  </si>
  <si>
    <t>9119 Tamworth Rd</t>
  </si>
  <si>
    <t>10426 Greenmore Dr</t>
  </si>
  <si>
    <t>1550 W 29th St</t>
  </si>
  <si>
    <t>10520 Depaul Dr</t>
  </si>
  <si>
    <t>3758 Eve Dr W</t>
  </si>
  <si>
    <t>5232 Commonwealth Ave</t>
  </si>
  <si>
    <t>875 Saint Clair St</t>
  </si>
  <si>
    <t>6979 Garden St</t>
  </si>
  <si>
    <t>7428 Rentz Ct</t>
  </si>
  <si>
    <t>7017 Hallock St</t>
  </si>
  <si>
    <t>4802 Colonial Ave</t>
  </si>
  <si>
    <t>4134 Pearce St</t>
  </si>
  <si>
    <t>3029 Rosselle St</t>
  </si>
  <si>
    <t>1015 Saratoga Blvd</t>
  </si>
  <si>
    <t>7943 Guerad Dr N</t>
  </si>
  <si>
    <t>1119 Saint Johns Bluff Rd N</t>
  </si>
  <si>
    <t>12960 Night Heron Ct</t>
  </si>
  <si>
    <t>4567 Polaris St</t>
  </si>
  <si>
    <t>10095 Pebble Ridge Dr N</t>
  </si>
  <si>
    <t>2219 W 18th St</t>
  </si>
  <si>
    <t>6015 Royal Estates Pl</t>
  </si>
  <si>
    <t>4435 Packard Dr</t>
  </si>
  <si>
    <t>1143 Makua Ave S</t>
  </si>
  <si>
    <t>2326 Emerson St</t>
  </si>
  <si>
    <t>1173 Lake Forest Blvd</t>
  </si>
  <si>
    <t>6452 Solandra Dr S</t>
  </si>
  <si>
    <t>4406 De Kalb Ave</t>
  </si>
  <si>
    <t>4512 Bessie Cir W</t>
  </si>
  <si>
    <t>985 Mikael Ave</t>
  </si>
  <si>
    <t>6860 La Paz Ct</t>
  </si>
  <si>
    <t>8434 Spicewood Dr</t>
  </si>
  <si>
    <t>4615 Tanbark Rd</t>
  </si>
  <si>
    <t>1087 Spokane Ave</t>
  </si>
  <si>
    <t>7067 Delisle Dr</t>
  </si>
  <si>
    <t>468 W 62nd St</t>
  </si>
  <si>
    <t>923 Overlook Dr</t>
  </si>
  <si>
    <t>1534 State St W</t>
  </si>
  <si>
    <t>4148 Ruby Dr E</t>
  </si>
  <si>
    <t>10831 Losco Junction Dr</t>
  </si>
  <si>
    <t>1161 Lake Shore Blvd</t>
  </si>
  <si>
    <t>7628 Rambler Rd</t>
  </si>
  <si>
    <t>5693 Wolf Creek Dr</t>
  </si>
  <si>
    <t>578 Brockham Dr</t>
  </si>
  <si>
    <t>6338 Bartholf Ave</t>
  </si>
  <si>
    <t>6391 Farmhill Ct</t>
  </si>
  <si>
    <t>8223 Buttercup St</t>
  </si>
  <si>
    <t>7531 Strato Rd</t>
  </si>
  <si>
    <t>2719 Pine Summit Dr E</t>
  </si>
  <si>
    <t>8960 2nd Ave</t>
  </si>
  <si>
    <t>5329 Camille Ave</t>
  </si>
  <si>
    <t>6810 Medellin Ct</t>
  </si>
  <si>
    <t>2108 Burpee Dr</t>
  </si>
  <si>
    <t>1677 Rowe Ave</t>
  </si>
  <si>
    <t>3911 Hillwood Rd</t>
  </si>
  <si>
    <t>751 Briarcreek Rd</t>
  </si>
  <si>
    <t>5917 Longchamp Dr</t>
  </si>
  <si>
    <t>9721 Sappington Ave</t>
  </si>
  <si>
    <t>4532 Country Club Rd</t>
  </si>
  <si>
    <t>10441 Pinehurst Dr</t>
  </si>
  <si>
    <t>4614 Effingham Rd</t>
  </si>
  <si>
    <t>6222 Brooks Cir N</t>
  </si>
  <si>
    <t>3807 Copper Cir W</t>
  </si>
  <si>
    <t>1247 Maynard St</t>
  </si>
  <si>
    <t>340 Spruce St</t>
  </si>
  <si>
    <t>5315 Wabash Blvd</t>
  </si>
  <si>
    <t>4909 Dundee Rd</t>
  </si>
  <si>
    <t>7832 Delaroche Ct</t>
  </si>
  <si>
    <t>2025 Merrill Ave</t>
  </si>
  <si>
    <t>3319 Ernest St</t>
  </si>
  <si>
    <t>2090 Yulee St</t>
  </si>
  <si>
    <t>3409 Catamaran Way</t>
  </si>
  <si>
    <t>6315 Eastwood Ln</t>
  </si>
  <si>
    <t>926 Townsend Blvd</t>
  </si>
  <si>
    <t>9224 Jefferson Ave</t>
  </si>
  <si>
    <t>4432 Marquette Ave</t>
  </si>
  <si>
    <t>7877 Caxton Cir W</t>
  </si>
  <si>
    <t>2433 Cotillion Rd</t>
  </si>
  <si>
    <t>1780 Bartram Rd</t>
  </si>
  <si>
    <t>2005 Visconti Dr</t>
  </si>
  <si>
    <t>1552 Oakhurst Ave</t>
  </si>
  <si>
    <t>9775 103rd St</t>
  </si>
  <si>
    <t>12026 Provence St</t>
  </si>
  <si>
    <t>4822 Wheeler Ave</t>
  </si>
  <si>
    <t>3064 2nd Street Cir</t>
  </si>
  <si>
    <t>5188 Ensign Ave</t>
  </si>
  <si>
    <t>836 Gates St</t>
  </si>
  <si>
    <t>6351 Fedor Ct</t>
  </si>
  <si>
    <t>2541 Galapagos Ave E</t>
  </si>
  <si>
    <t>4686 Portsmouth Ave</t>
  </si>
  <si>
    <t>2005 Brookview Dr S</t>
  </si>
  <si>
    <t>2153 Brian Lakes Dr N</t>
  </si>
  <si>
    <t>2432 Cedar Shores Cir</t>
  </si>
  <si>
    <t>6921 Exline Rd</t>
  </si>
  <si>
    <t>2241 Patou Ct</t>
  </si>
  <si>
    <t>11539 Lake Ride Dr</t>
  </si>
  <si>
    <t>3243 Hunt St</t>
  </si>
  <si>
    <t>2145 Thomas Ct</t>
  </si>
  <si>
    <t>6204 Lobelia St</t>
  </si>
  <si>
    <t>814 Saint Clair St</t>
  </si>
  <si>
    <t>1737 Le Bois Dr</t>
  </si>
  <si>
    <t>2521 Beaverbrook Pl</t>
  </si>
  <si>
    <t>7957 Jaguar Dr</t>
  </si>
  <si>
    <t>6801 San Souci Rd</t>
  </si>
  <si>
    <t>3070 Lowell Ave</t>
  </si>
  <si>
    <t>1554 Domas Ct</t>
  </si>
  <si>
    <t>956 Le Brun Dr</t>
  </si>
  <si>
    <t>4066 Atlantic Blvd</t>
  </si>
  <si>
    <t>7536 Wakefield Ave</t>
  </si>
  <si>
    <t>5326 Glenwood Ave</t>
  </si>
  <si>
    <t>1644 E 16th St</t>
  </si>
  <si>
    <t>11318 Renne Dr E</t>
  </si>
  <si>
    <t>1432 Broward Rd</t>
  </si>
  <si>
    <t>1403 Romney St</t>
  </si>
  <si>
    <t>1492 W 30th St</t>
  </si>
  <si>
    <t>7929 Arble Dr</t>
  </si>
  <si>
    <t>2648 Myra St</t>
  </si>
  <si>
    <t>12064 Bulldog Lake Rd</t>
  </si>
  <si>
    <t>1523 Montrose Ave E</t>
  </si>
  <si>
    <t>6227 Pettiford Dr E</t>
  </si>
  <si>
    <t>7932 Concord Cir</t>
  </si>
  <si>
    <t>11111 Copper Hill Dr</t>
  </si>
  <si>
    <t>PROPERTY 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</si>
</sst>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F608-53A3-4035-AC79-5D31B18135F0}">
  <dimension ref="A1:G656"/>
  <sheetViews>
    <sheetView tabSelected="1" topLeftCell="A78" workbookViewId="0">
      <selection activeCell="A91" sqref="A91:XFD91"/>
    </sheetView>
  </sheetViews>
  <sheetFormatPr defaultRowHeight="15" x14ac:dyDescent="0.25"/>
  <cols>
    <col min="1" max="1" width="32.85546875" bestFit="1" customWidth="1"/>
    <col min="2" max="2" width="33.140625" bestFit="1" customWidth="1"/>
    <col min="3" max="3" width="18.42578125" bestFit="1" customWidth="1"/>
    <col min="4" max="4" width="11.28515625" bestFit="1" customWidth="1"/>
    <col min="5" max="5" width="14.140625" bestFit="1" customWidth="1"/>
    <col min="6" max="6" width="27.140625" bestFit="1" customWidth="1"/>
    <col min="7" max="7" width="18.85546875" bestFit="1" customWidth="1"/>
  </cols>
  <sheetData>
    <row r="1" spans="1:7" x14ac:dyDescent="0.25">
      <c r="A1" s="1" t="s">
        <v>0</v>
      </c>
      <c r="B1" s="1" t="s">
        <v>633</v>
      </c>
      <c r="C1" s="1" t="s">
        <v>1285</v>
      </c>
      <c r="D1" s="1" t="s">
        <v>1457</v>
      </c>
      <c r="E1" s="1" t="s">
        <v>1489</v>
      </c>
      <c r="F1" s="1" t="s">
        <v>1490</v>
      </c>
      <c r="G1" s="1" t="s">
        <v>2139</v>
      </c>
    </row>
    <row r="2" spans="1:7" x14ac:dyDescent="0.25">
      <c r="A2" t="s">
        <v>1</v>
      </c>
      <c r="B2" t="s">
        <v>634</v>
      </c>
      <c r="C2" t="s">
        <v>1286</v>
      </c>
      <c r="D2" t="s">
        <v>1458</v>
      </c>
      <c r="E2" t="str">
        <f>"32202"</f>
        <v>32202</v>
      </c>
      <c r="F2" t="s">
        <v>1491</v>
      </c>
      <c r="G2" t="str">
        <f>"32207"</f>
        <v>32207</v>
      </c>
    </row>
    <row r="3" spans="1:7" x14ac:dyDescent="0.25">
      <c r="A3" t="s">
        <v>2</v>
      </c>
      <c r="B3" t="s">
        <v>635</v>
      </c>
      <c r="C3" t="s">
        <v>1286</v>
      </c>
      <c r="D3" t="s">
        <v>1458</v>
      </c>
      <c r="E3" t="str">
        <f>"32225"</f>
        <v>32225</v>
      </c>
      <c r="F3" t="s">
        <v>1492</v>
      </c>
      <c r="G3" t="str">
        <f>"32217"</f>
        <v>32217</v>
      </c>
    </row>
    <row r="4" spans="1:7" x14ac:dyDescent="0.25">
      <c r="A4" t="s">
        <v>3</v>
      </c>
      <c r="B4" t="s">
        <v>636</v>
      </c>
      <c r="C4" t="s">
        <v>1286</v>
      </c>
      <c r="D4" t="s">
        <v>1458</v>
      </c>
      <c r="E4" t="str">
        <f>"32246"</f>
        <v>32246</v>
      </c>
      <c r="F4" t="s">
        <v>1493</v>
      </c>
      <c r="G4" t="str">
        <f>"32211"</f>
        <v>32211</v>
      </c>
    </row>
    <row r="5" spans="1:7" x14ac:dyDescent="0.25">
      <c r="A5" t="s">
        <v>4</v>
      </c>
      <c r="B5" t="s">
        <v>637</v>
      </c>
      <c r="C5" t="s">
        <v>1286</v>
      </c>
      <c r="D5" t="s">
        <v>1458</v>
      </c>
      <c r="E5" t="str">
        <f>"32277"</f>
        <v>32277</v>
      </c>
      <c r="F5" t="s">
        <v>1494</v>
      </c>
      <c r="G5" t="str">
        <f>"32210"</f>
        <v>32210</v>
      </c>
    </row>
    <row r="6" spans="1:7" x14ac:dyDescent="0.25">
      <c r="A6" t="s">
        <v>5</v>
      </c>
      <c r="B6" t="s">
        <v>638</v>
      </c>
      <c r="C6" t="s">
        <v>1287</v>
      </c>
      <c r="D6" t="s">
        <v>1458</v>
      </c>
      <c r="E6" t="str">
        <f>"32082"</f>
        <v>32082</v>
      </c>
      <c r="F6" t="s">
        <v>1495</v>
      </c>
      <c r="G6" t="str">
        <f>"32233"</f>
        <v>32233</v>
      </c>
    </row>
    <row r="7" spans="1:7" x14ac:dyDescent="0.25">
      <c r="A7" t="s">
        <v>6</v>
      </c>
      <c r="B7" t="s">
        <v>639</v>
      </c>
      <c r="C7" t="s">
        <v>1287</v>
      </c>
      <c r="D7" t="s">
        <v>1458</v>
      </c>
      <c r="E7" t="str">
        <f>"32081"</f>
        <v>32081</v>
      </c>
      <c r="F7" t="s">
        <v>1496</v>
      </c>
      <c r="G7" t="str">
        <f>"32225"</f>
        <v>32225</v>
      </c>
    </row>
    <row r="8" spans="1:7" x14ac:dyDescent="0.25">
      <c r="A8" t="s">
        <v>7</v>
      </c>
      <c r="B8" t="s">
        <v>640</v>
      </c>
      <c r="C8" t="s">
        <v>1288</v>
      </c>
      <c r="D8" t="s">
        <v>1458</v>
      </c>
      <c r="E8" t="str">
        <f>"32259"</f>
        <v>32259</v>
      </c>
      <c r="F8" t="s">
        <v>1497</v>
      </c>
      <c r="G8" t="str">
        <f>"32221"</f>
        <v>32221</v>
      </c>
    </row>
    <row r="9" spans="1:7" x14ac:dyDescent="0.25">
      <c r="A9" t="s">
        <v>8</v>
      </c>
      <c r="B9" t="s">
        <v>641</v>
      </c>
      <c r="C9" t="s">
        <v>1289</v>
      </c>
      <c r="D9" t="s">
        <v>1458</v>
      </c>
      <c r="E9" t="str">
        <f>"33607"</f>
        <v>33607</v>
      </c>
      <c r="F9" t="s">
        <v>1498</v>
      </c>
      <c r="G9" t="str">
        <f>"32244"</f>
        <v>32244</v>
      </c>
    </row>
    <row r="10" spans="1:7" x14ac:dyDescent="0.25">
      <c r="A10" t="s">
        <v>9</v>
      </c>
      <c r="B10" t="s">
        <v>642</v>
      </c>
      <c r="C10" t="s">
        <v>1286</v>
      </c>
      <c r="D10" t="s">
        <v>1458</v>
      </c>
      <c r="E10" t="str">
        <f>"32226"</f>
        <v>32226</v>
      </c>
      <c r="F10" t="s">
        <v>1499</v>
      </c>
      <c r="G10" t="str">
        <f>"32225"</f>
        <v>32225</v>
      </c>
    </row>
    <row r="11" spans="1:7" x14ac:dyDescent="0.25">
      <c r="A11" t="s">
        <v>10</v>
      </c>
      <c r="B11" t="s">
        <v>643</v>
      </c>
      <c r="C11" t="s">
        <v>1286</v>
      </c>
      <c r="D11" t="s">
        <v>1458</v>
      </c>
      <c r="E11" t="str">
        <f>"32216"</f>
        <v>32216</v>
      </c>
      <c r="F11" t="s">
        <v>1500</v>
      </c>
      <c r="G11" t="str">
        <f>"32216"</f>
        <v>32216</v>
      </c>
    </row>
    <row r="12" spans="1:7" x14ac:dyDescent="0.25">
      <c r="A12" t="s">
        <v>11</v>
      </c>
      <c r="B12" t="s">
        <v>644</v>
      </c>
      <c r="C12" t="s">
        <v>1290</v>
      </c>
      <c r="D12" t="s">
        <v>1458</v>
      </c>
      <c r="E12" t="str">
        <f>"32073"</f>
        <v>32073</v>
      </c>
      <c r="F12" t="s">
        <v>1501</v>
      </c>
      <c r="G12" t="str">
        <f>"32244"</f>
        <v>32244</v>
      </c>
    </row>
    <row r="13" spans="1:7" x14ac:dyDescent="0.25">
      <c r="A13" t="s">
        <v>12</v>
      </c>
      <c r="B13" t="s">
        <v>645</v>
      </c>
      <c r="C13" t="s">
        <v>1287</v>
      </c>
      <c r="D13" t="s">
        <v>1458</v>
      </c>
      <c r="E13" t="str">
        <f>"32082"</f>
        <v>32082</v>
      </c>
      <c r="F13" t="s">
        <v>1502</v>
      </c>
      <c r="G13" t="str">
        <f>"32244"</f>
        <v>32244</v>
      </c>
    </row>
    <row r="14" spans="1:7" x14ac:dyDescent="0.25">
      <c r="A14" t="s">
        <v>13</v>
      </c>
      <c r="B14" t="s">
        <v>646</v>
      </c>
      <c r="C14" t="s">
        <v>1291</v>
      </c>
      <c r="D14" t="s">
        <v>1458</v>
      </c>
      <c r="E14" t="str">
        <f>"32003"</f>
        <v>32003</v>
      </c>
      <c r="F14" t="s">
        <v>1503</v>
      </c>
      <c r="G14" t="str">
        <f>"32258"</f>
        <v>32258</v>
      </c>
    </row>
    <row r="15" spans="1:7" x14ac:dyDescent="0.25">
      <c r="A15" t="s">
        <v>14</v>
      </c>
      <c r="B15" t="s">
        <v>647</v>
      </c>
      <c r="C15" t="s">
        <v>1286</v>
      </c>
      <c r="D15" t="s">
        <v>1458</v>
      </c>
      <c r="E15" t="str">
        <f>"32257"</f>
        <v>32257</v>
      </c>
      <c r="F15" t="s">
        <v>1504</v>
      </c>
      <c r="G15" t="str">
        <f>"32244"</f>
        <v>32244</v>
      </c>
    </row>
    <row r="16" spans="1:7" x14ac:dyDescent="0.25">
      <c r="A16" t="s">
        <v>15</v>
      </c>
      <c r="B16" t="s">
        <v>648</v>
      </c>
      <c r="C16" t="s">
        <v>1292</v>
      </c>
      <c r="D16" t="s">
        <v>1459</v>
      </c>
      <c r="E16" t="str">
        <f>"85250"</f>
        <v>85250</v>
      </c>
      <c r="F16" t="s">
        <v>1505</v>
      </c>
      <c r="G16" t="str">
        <f>"32208"</f>
        <v>32208</v>
      </c>
    </row>
    <row r="17" spans="1:7" x14ac:dyDescent="0.25">
      <c r="A17" t="s">
        <v>16</v>
      </c>
      <c r="B17" t="s">
        <v>649</v>
      </c>
      <c r="C17" t="s">
        <v>1286</v>
      </c>
      <c r="D17" t="s">
        <v>1458</v>
      </c>
      <c r="E17" t="str">
        <f>"32246"</f>
        <v>32246</v>
      </c>
      <c r="F17" t="s">
        <v>1506</v>
      </c>
      <c r="G17" t="str">
        <f>"32246"</f>
        <v>32246</v>
      </c>
    </row>
    <row r="18" spans="1:7" x14ac:dyDescent="0.25">
      <c r="A18" t="s">
        <v>17</v>
      </c>
      <c r="B18" t="s">
        <v>650</v>
      </c>
      <c r="C18" t="s">
        <v>1286</v>
      </c>
      <c r="D18" t="s">
        <v>1458</v>
      </c>
      <c r="E18" t="str">
        <f>"32218"</f>
        <v>32218</v>
      </c>
      <c r="F18" t="s">
        <v>1507</v>
      </c>
      <c r="G18" t="str">
        <f>"32208"</f>
        <v>32208</v>
      </c>
    </row>
    <row r="19" spans="1:7" x14ac:dyDescent="0.25">
      <c r="A19" t="s">
        <v>18</v>
      </c>
      <c r="B19" t="s">
        <v>651</v>
      </c>
      <c r="C19" t="s">
        <v>1287</v>
      </c>
      <c r="D19" t="s">
        <v>1458</v>
      </c>
      <c r="E19" t="str">
        <f>"32082"</f>
        <v>32082</v>
      </c>
      <c r="F19" t="s">
        <v>1508</v>
      </c>
      <c r="G19" t="str">
        <f>"32224"</f>
        <v>32224</v>
      </c>
    </row>
    <row r="20" spans="1:7" x14ac:dyDescent="0.25">
      <c r="A20" t="s">
        <v>19</v>
      </c>
      <c r="B20" t="s">
        <v>652</v>
      </c>
      <c r="C20" t="s">
        <v>1286</v>
      </c>
      <c r="D20" t="s">
        <v>1458</v>
      </c>
      <c r="E20" t="str">
        <f>"32244"</f>
        <v>32244</v>
      </c>
      <c r="F20" t="s">
        <v>1509</v>
      </c>
      <c r="G20" t="str">
        <f>"32210"</f>
        <v>32210</v>
      </c>
    </row>
    <row r="21" spans="1:7" x14ac:dyDescent="0.25">
      <c r="A21" t="s">
        <v>20</v>
      </c>
      <c r="B21" t="s">
        <v>653</v>
      </c>
      <c r="C21" t="s">
        <v>1293</v>
      </c>
      <c r="D21" t="s">
        <v>1458</v>
      </c>
      <c r="E21" t="str">
        <f>"33779"</f>
        <v>33779</v>
      </c>
      <c r="F21" t="s">
        <v>1510</v>
      </c>
      <c r="G21" t="str">
        <f>"32206"</f>
        <v>32206</v>
      </c>
    </row>
    <row r="22" spans="1:7" x14ac:dyDescent="0.25">
      <c r="A22" t="s">
        <v>21</v>
      </c>
      <c r="B22" t="s">
        <v>654</v>
      </c>
      <c r="C22" t="s">
        <v>1291</v>
      </c>
      <c r="D22" t="s">
        <v>1458</v>
      </c>
      <c r="E22" t="str">
        <f>"32003"</f>
        <v>32003</v>
      </c>
      <c r="F22" t="s">
        <v>1511</v>
      </c>
      <c r="G22" t="str">
        <f>"32246"</f>
        <v>32246</v>
      </c>
    </row>
    <row r="23" spans="1:7" x14ac:dyDescent="0.25">
      <c r="A23" t="s">
        <v>22</v>
      </c>
      <c r="B23" t="s">
        <v>655</v>
      </c>
      <c r="C23" t="s">
        <v>1294</v>
      </c>
      <c r="D23" t="s">
        <v>1458</v>
      </c>
      <c r="E23" t="str">
        <f>"32250"</f>
        <v>32250</v>
      </c>
      <c r="F23" t="s">
        <v>1512</v>
      </c>
      <c r="G23" t="str">
        <f>"32208"</f>
        <v>32208</v>
      </c>
    </row>
    <row r="24" spans="1:7" x14ac:dyDescent="0.25">
      <c r="A24" t="s">
        <v>23</v>
      </c>
      <c r="B24" t="s">
        <v>656</v>
      </c>
      <c r="C24" t="s">
        <v>1286</v>
      </c>
      <c r="D24" t="s">
        <v>1458</v>
      </c>
      <c r="E24" t="str">
        <f>"32216"</f>
        <v>32216</v>
      </c>
      <c r="F24" t="s">
        <v>1513</v>
      </c>
      <c r="G24" t="str">
        <f>"32207"</f>
        <v>32207</v>
      </c>
    </row>
    <row r="25" spans="1:7" x14ac:dyDescent="0.25">
      <c r="A25" t="s">
        <v>24</v>
      </c>
      <c r="B25" t="s">
        <v>657</v>
      </c>
      <c r="C25" t="s">
        <v>1295</v>
      </c>
      <c r="D25" t="s">
        <v>1460</v>
      </c>
      <c r="E25" t="str">
        <f>"28211"</f>
        <v>28211</v>
      </c>
      <c r="F25" t="s">
        <v>1514</v>
      </c>
      <c r="G25" t="str">
        <f>"32208"</f>
        <v>32208</v>
      </c>
    </row>
    <row r="26" spans="1:7" x14ac:dyDescent="0.25">
      <c r="A26" t="s">
        <v>25</v>
      </c>
      <c r="B26" t="s">
        <v>658</v>
      </c>
      <c r="C26" t="s">
        <v>1286</v>
      </c>
      <c r="D26" t="s">
        <v>1458</v>
      </c>
      <c r="E26" t="str">
        <f>"32224"</f>
        <v>32224</v>
      </c>
      <c r="F26" t="s">
        <v>1515</v>
      </c>
      <c r="G26" t="str">
        <f>"32211"</f>
        <v>32211</v>
      </c>
    </row>
    <row r="27" spans="1:7" x14ac:dyDescent="0.25">
      <c r="A27" t="s">
        <v>26</v>
      </c>
      <c r="B27" t="s">
        <v>659</v>
      </c>
      <c r="C27" t="s">
        <v>1286</v>
      </c>
      <c r="D27" t="s">
        <v>1458</v>
      </c>
      <c r="E27" t="str">
        <f>"32225"</f>
        <v>32225</v>
      </c>
      <c r="F27" t="s">
        <v>1516</v>
      </c>
      <c r="G27" t="str">
        <f>"32210"</f>
        <v>32210</v>
      </c>
    </row>
    <row r="28" spans="1:7" x14ac:dyDescent="0.25">
      <c r="A28" t="s">
        <v>27</v>
      </c>
      <c r="B28" t="s">
        <v>660</v>
      </c>
      <c r="C28" t="s">
        <v>1286</v>
      </c>
      <c r="D28" t="s">
        <v>1458</v>
      </c>
      <c r="E28" t="str">
        <f>"32216"</f>
        <v>32216</v>
      </c>
      <c r="F28" t="s">
        <v>1517</v>
      </c>
      <c r="G28" t="str">
        <f>"32246"</f>
        <v>32246</v>
      </c>
    </row>
    <row r="29" spans="1:7" x14ac:dyDescent="0.25">
      <c r="A29" t="s">
        <v>28</v>
      </c>
      <c r="B29" t="s">
        <v>661</v>
      </c>
      <c r="C29" t="s">
        <v>1286</v>
      </c>
      <c r="D29" t="s">
        <v>1458</v>
      </c>
      <c r="E29" t="str">
        <f>"32224"</f>
        <v>32224</v>
      </c>
      <c r="F29" t="s">
        <v>1518</v>
      </c>
      <c r="G29" t="str">
        <f>"32246"</f>
        <v>32246</v>
      </c>
    </row>
    <row r="30" spans="1:7" x14ac:dyDescent="0.25">
      <c r="A30" t="s">
        <v>29</v>
      </c>
      <c r="B30" t="s">
        <v>662</v>
      </c>
      <c r="C30" t="s">
        <v>1297</v>
      </c>
      <c r="D30" t="s">
        <v>1458</v>
      </c>
      <c r="E30" t="str">
        <f>"32266"</f>
        <v>32266</v>
      </c>
      <c r="F30" t="s">
        <v>1519</v>
      </c>
      <c r="G30" t="str">
        <f>"32246"</f>
        <v>32246</v>
      </c>
    </row>
    <row r="31" spans="1:7" x14ac:dyDescent="0.25">
      <c r="A31" t="s">
        <v>30</v>
      </c>
      <c r="B31" t="s">
        <v>663</v>
      </c>
      <c r="C31" t="s">
        <v>1298</v>
      </c>
      <c r="D31" t="s">
        <v>1461</v>
      </c>
      <c r="E31" t="str">
        <f>"29928"</f>
        <v>29928</v>
      </c>
      <c r="F31" t="s">
        <v>1520</v>
      </c>
      <c r="G31" t="str">
        <f>"32205"</f>
        <v>32205</v>
      </c>
    </row>
    <row r="32" spans="1:7" x14ac:dyDescent="0.25">
      <c r="A32" t="s">
        <v>31</v>
      </c>
      <c r="B32" t="s">
        <v>664</v>
      </c>
      <c r="C32" t="s">
        <v>1299</v>
      </c>
      <c r="D32" t="s">
        <v>1462</v>
      </c>
      <c r="E32" t="str">
        <f>"10002"</f>
        <v>10002</v>
      </c>
      <c r="F32" t="s">
        <v>1521</v>
      </c>
      <c r="G32" t="str">
        <f>"32208"</f>
        <v>32208</v>
      </c>
    </row>
    <row r="33" spans="1:7" x14ac:dyDescent="0.25">
      <c r="A33" t="s">
        <v>32</v>
      </c>
      <c r="B33" t="s">
        <v>665</v>
      </c>
      <c r="C33" t="s">
        <v>1291</v>
      </c>
      <c r="D33" t="s">
        <v>1458</v>
      </c>
      <c r="E33" t="str">
        <f>"32003"</f>
        <v>32003</v>
      </c>
      <c r="F33" t="s">
        <v>1522</v>
      </c>
      <c r="G33" t="str">
        <f>"32223"</f>
        <v>32223</v>
      </c>
    </row>
    <row r="34" spans="1:7" x14ac:dyDescent="0.25">
      <c r="A34" t="s">
        <v>33</v>
      </c>
      <c r="B34" t="s">
        <v>666</v>
      </c>
      <c r="C34" t="s">
        <v>1286</v>
      </c>
      <c r="D34" t="s">
        <v>1458</v>
      </c>
      <c r="E34" t="str">
        <f>"32277"</f>
        <v>32277</v>
      </c>
      <c r="F34" t="s">
        <v>1523</v>
      </c>
      <c r="G34" t="str">
        <f>"32277"</f>
        <v>32277</v>
      </c>
    </row>
    <row r="35" spans="1:7" x14ac:dyDescent="0.25">
      <c r="A35" t="s">
        <v>34</v>
      </c>
      <c r="B35" t="s">
        <v>667</v>
      </c>
      <c r="C35" t="s">
        <v>1286</v>
      </c>
      <c r="D35" t="s">
        <v>1458</v>
      </c>
      <c r="E35" t="str">
        <f>"32244"</f>
        <v>32244</v>
      </c>
      <c r="F35" t="s">
        <v>1524</v>
      </c>
      <c r="G35" t="str">
        <f>"32225"</f>
        <v>32225</v>
      </c>
    </row>
    <row r="36" spans="1:7" x14ac:dyDescent="0.25">
      <c r="A36" t="s">
        <v>35</v>
      </c>
      <c r="B36" t="s">
        <v>668</v>
      </c>
      <c r="C36" t="s">
        <v>1286</v>
      </c>
      <c r="D36" t="s">
        <v>1458</v>
      </c>
      <c r="E36" t="str">
        <f>"32210"</f>
        <v>32210</v>
      </c>
      <c r="F36" t="s">
        <v>1525</v>
      </c>
      <c r="G36" t="str">
        <f>"32208"</f>
        <v>32208</v>
      </c>
    </row>
    <row r="37" spans="1:7" x14ac:dyDescent="0.25">
      <c r="A37" t="s">
        <v>36</v>
      </c>
      <c r="B37" t="s">
        <v>669</v>
      </c>
      <c r="C37" t="s">
        <v>1286</v>
      </c>
      <c r="D37" t="s">
        <v>1458</v>
      </c>
      <c r="E37" t="str">
        <f>"32225"</f>
        <v>32225</v>
      </c>
      <c r="F37" t="s">
        <v>1526</v>
      </c>
      <c r="G37" t="str">
        <f>"32246"</f>
        <v>32246</v>
      </c>
    </row>
    <row r="38" spans="1:7" x14ac:dyDescent="0.25">
      <c r="A38" t="s">
        <v>37</v>
      </c>
      <c r="B38" t="s">
        <v>670</v>
      </c>
      <c r="C38" t="s">
        <v>1286</v>
      </c>
      <c r="D38" t="s">
        <v>1458</v>
      </c>
      <c r="E38" t="str">
        <f>"32205"</f>
        <v>32205</v>
      </c>
      <c r="F38" t="s">
        <v>1527</v>
      </c>
      <c r="G38" t="str">
        <f>"32205"</f>
        <v>32205</v>
      </c>
    </row>
    <row r="39" spans="1:7" x14ac:dyDescent="0.25">
      <c r="A39" t="s">
        <v>38</v>
      </c>
      <c r="B39" t="s">
        <v>671</v>
      </c>
      <c r="C39" t="s">
        <v>1286</v>
      </c>
      <c r="D39" t="s">
        <v>1458</v>
      </c>
      <c r="E39" t="str">
        <f>"32208"</f>
        <v>32208</v>
      </c>
      <c r="F39" t="s">
        <v>1528</v>
      </c>
      <c r="G39" t="str">
        <f>"32218"</f>
        <v>32218</v>
      </c>
    </row>
    <row r="40" spans="1:7" x14ac:dyDescent="0.25">
      <c r="A40" t="s">
        <v>39</v>
      </c>
      <c r="B40" t="s">
        <v>672</v>
      </c>
      <c r="C40" t="s">
        <v>1300</v>
      </c>
      <c r="D40" t="s">
        <v>1463</v>
      </c>
      <c r="E40" t="str">
        <f>"94002"</f>
        <v>94002</v>
      </c>
      <c r="F40" t="s">
        <v>1529</v>
      </c>
      <c r="G40" t="str">
        <f>"32208"</f>
        <v>32208</v>
      </c>
    </row>
    <row r="41" spans="1:7" x14ac:dyDescent="0.25">
      <c r="A41" t="s">
        <v>40</v>
      </c>
      <c r="B41" t="s">
        <v>673</v>
      </c>
      <c r="C41" t="s">
        <v>1301</v>
      </c>
      <c r="D41" t="s">
        <v>1464</v>
      </c>
      <c r="E41" t="str">
        <f>"44114"</f>
        <v>44114</v>
      </c>
      <c r="F41" t="s">
        <v>1530</v>
      </c>
      <c r="G41" t="str">
        <f>"32206"</f>
        <v>32206</v>
      </c>
    </row>
    <row r="42" spans="1:7" x14ac:dyDescent="0.25">
      <c r="A42" t="s">
        <v>41</v>
      </c>
      <c r="B42" t="s">
        <v>674</v>
      </c>
      <c r="C42" t="s">
        <v>1286</v>
      </c>
      <c r="D42" t="s">
        <v>1458</v>
      </c>
      <c r="E42" t="str">
        <f>"32224"</f>
        <v>32224</v>
      </c>
      <c r="F42" t="s">
        <v>1531</v>
      </c>
      <c r="G42" t="str">
        <f>"32218"</f>
        <v>32218</v>
      </c>
    </row>
    <row r="43" spans="1:7" x14ac:dyDescent="0.25">
      <c r="A43" t="s">
        <v>42</v>
      </c>
      <c r="B43" t="s">
        <v>675</v>
      </c>
      <c r="C43" t="s">
        <v>1302</v>
      </c>
      <c r="D43" t="s">
        <v>1465</v>
      </c>
      <c r="E43" t="str">
        <f>"52157"</f>
        <v>52157</v>
      </c>
      <c r="F43" t="s">
        <v>1532</v>
      </c>
      <c r="G43" t="str">
        <f>"32216"</f>
        <v>32216</v>
      </c>
    </row>
    <row r="44" spans="1:7" x14ac:dyDescent="0.25">
      <c r="A44" t="s">
        <v>43</v>
      </c>
      <c r="B44" t="s">
        <v>676</v>
      </c>
      <c r="C44" t="s">
        <v>1286</v>
      </c>
      <c r="D44" t="s">
        <v>1458</v>
      </c>
      <c r="E44" t="str">
        <f>"32226"</f>
        <v>32226</v>
      </c>
      <c r="F44" t="s">
        <v>1533</v>
      </c>
      <c r="G44" t="str">
        <f>"32208"</f>
        <v>32208</v>
      </c>
    </row>
    <row r="45" spans="1:7" x14ac:dyDescent="0.25">
      <c r="A45" t="s">
        <v>44</v>
      </c>
      <c r="B45" t="s">
        <v>677</v>
      </c>
      <c r="C45" t="s">
        <v>1291</v>
      </c>
      <c r="D45" t="s">
        <v>1458</v>
      </c>
      <c r="E45" t="str">
        <f>"32003"</f>
        <v>32003</v>
      </c>
      <c r="F45" t="s">
        <v>1534</v>
      </c>
      <c r="G45" t="str">
        <f>"32244"</f>
        <v>32244</v>
      </c>
    </row>
    <row r="46" spans="1:7" x14ac:dyDescent="0.25">
      <c r="A46" t="s">
        <v>45</v>
      </c>
      <c r="B46" t="s">
        <v>678</v>
      </c>
      <c r="C46" t="s">
        <v>1286</v>
      </c>
      <c r="D46" t="s">
        <v>1458</v>
      </c>
      <c r="E46" t="str">
        <f>"32221"</f>
        <v>32221</v>
      </c>
      <c r="F46" t="s">
        <v>1535</v>
      </c>
      <c r="G46" t="str">
        <f>"32221"</f>
        <v>32221</v>
      </c>
    </row>
    <row r="47" spans="1:7" x14ac:dyDescent="0.25">
      <c r="A47" t="s">
        <v>46</v>
      </c>
      <c r="B47" t="s">
        <v>679</v>
      </c>
      <c r="C47" t="s">
        <v>1303</v>
      </c>
      <c r="D47" t="s">
        <v>1466</v>
      </c>
      <c r="E47" t="str">
        <f>"60546"</f>
        <v>60546</v>
      </c>
      <c r="F47" t="s">
        <v>1536</v>
      </c>
      <c r="G47" t="str">
        <f>"32218"</f>
        <v>32218</v>
      </c>
    </row>
    <row r="48" spans="1:7" x14ac:dyDescent="0.25">
      <c r="A48" t="s">
        <v>47</v>
      </c>
      <c r="B48" t="s">
        <v>680</v>
      </c>
      <c r="C48" t="s">
        <v>1286</v>
      </c>
      <c r="D48" t="s">
        <v>1458</v>
      </c>
      <c r="E48" t="str">
        <f>"32246"</f>
        <v>32246</v>
      </c>
      <c r="F48" t="s">
        <v>1537</v>
      </c>
      <c r="G48" t="str">
        <f>"32256"</f>
        <v>32256</v>
      </c>
    </row>
    <row r="49" spans="1:7" x14ac:dyDescent="0.25">
      <c r="A49" t="s">
        <v>48</v>
      </c>
      <c r="B49" t="s">
        <v>681</v>
      </c>
      <c r="C49" t="s">
        <v>1304</v>
      </c>
      <c r="D49" t="s">
        <v>1458</v>
      </c>
      <c r="E49" t="str">
        <f>"32837"</f>
        <v>32837</v>
      </c>
      <c r="F49" t="s">
        <v>1538</v>
      </c>
      <c r="G49" t="str">
        <f>"32210"</f>
        <v>32210</v>
      </c>
    </row>
    <row r="50" spans="1:7" x14ac:dyDescent="0.25">
      <c r="A50" t="s">
        <v>49</v>
      </c>
      <c r="B50" t="s">
        <v>682</v>
      </c>
      <c r="C50" t="s">
        <v>1286</v>
      </c>
      <c r="D50" t="s">
        <v>1458</v>
      </c>
      <c r="E50" t="str">
        <f>"32207"</f>
        <v>32207</v>
      </c>
      <c r="F50" t="s">
        <v>1539</v>
      </c>
      <c r="G50" t="str">
        <f>"32211"</f>
        <v>32211</v>
      </c>
    </row>
    <row r="51" spans="1:7" x14ac:dyDescent="0.25">
      <c r="A51" t="s">
        <v>50</v>
      </c>
      <c r="B51" t="s">
        <v>683</v>
      </c>
      <c r="C51" t="s">
        <v>1286</v>
      </c>
      <c r="D51" t="s">
        <v>1458</v>
      </c>
      <c r="E51" t="str">
        <f>"32257"</f>
        <v>32257</v>
      </c>
      <c r="F51" t="s">
        <v>1540</v>
      </c>
      <c r="G51" t="str">
        <f>"32210"</f>
        <v>32210</v>
      </c>
    </row>
    <row r="52" spans="1:7" x14ac:dyDescent="0.25">
      <c r="A52" t="s">
        <v>51</v>
      </c>
      <c r="B52" t="s">
        <v>684</v>
      </c>
      <c r="C52" t="s">
        <v>1286</v>
      </c>
      <c r="D52" t="s">
        <v>1458</v>
      </c>
      <c r="E52" t="str">
        <f>"32210"</f>
        <v>32210</v>
      </c>
      <c r="F52" t="s">
        <v>1541</v>
      </c>
      <c r="G52" t="str">
        <f>"32210"</f>
        <v>32210</v>
      </c>
    </row>
    <row r="53" spans="1:7" x14ac:dyDescent="0.25">
      <c r="A53" t="s">
        <v>52</v>
      </c>
      <c r="B53" t="s">
        <v>685</v>
      </c>
      <c r="C53" t="s">
        <v>1286</v>
      </c>
      <c r="D53" t="s">
        <v>1458</v>
      </c>
      <c r="E53" t="str">
        <f>"32257"</f>
        <v>32257</v>
      </c>
      <c r="F53" t="s">
        <v>1542</v>
      </c>
      <c r="G53" t="str">
        <f>"32257"</f>
        <v>32257</v>
      </c>
    </row>
    <row r="54" spans="1:7" x14ac:dyDescent="0.25">
      <c r="A54" t="s">
        <v>53</v>
      </c>
      <c r="B54" t="s">
        <v>686</v>
      </c>
      <c r="C54" t="s">
        <v>1286</v>
      </c>
      <c r="D54" t="s">
        <v>1458</v>
      </c>
      <c r="E54" t="str">
        <f>"32226"</f>
        <v>32226</v>
      </c>
      <c r="F54" t="s">
        <v>1543</v>
      </c>
      <c r="G54" t="str">
        <f>"32216"</f>
        <v>32216</v>
      </c>
    </row>
    <row r="55" spans="1:7" x14ac:dyDescent="0.25">
      <c r="A55" t="s">
        <v>54</v>
      </c>
      <c r="B55" t="s">
        <v>687</v>
      </c>
      <c r="C55" t="s">
        <v>1286</v>
      </c>
      <c r="D55" t="s">
        <v>1458</v>
      </c>
      <c r="E55" t="str">
        <f>"32244"</f>
        <v>32244</v>
      </c>
      <c r="F55" t="s">
        <v>1544</v>
      </c>
      <c r="G55" t="str">
        <f>"32257"</f>
        <v>32257</v>
      </c>
    </row>
    <row r="56" spans="1:7" x14ac:dyDescent="0.25">
      <c r="A56" t="s">
        <v>55</v>
      </c>
      <c r="B56" t="s">
        <v>688</v>
      </c>
      <c r="C56" t="s">
        <v>1305</v>
      </c>
      <c r="D56" t="s">
        <v>1458</v>
      </c>
      <c r="E56" t="str">
        <f>"32092"</f>
        <v>32092</v>
      </c>
      <c r="F56" t="s">
        <v>1545</v>
      </c>
      <c r="G56" t="str">
        <f>"32211"</f>
        <v>32211</v>
      </c>
    </row>
    <row r="57" spans="1:7" x14ac:dyDescent="0.25">
      <c r="A57" t="s">
        <v>56</v>
      </c>
      <c r="B57" t="s">
        <v>689</v>
      </c>
      <c r="C57" t="s">
        <v>1286</v>
      </c>
      <c r="D57" t="s">
        <v>1458</v>
      </c>
      <c r="E57" t="str">
        <f>"32210"</f>
        <v>32210</v>
      </c>
      <c r="F57" t="s">
        <v>1546</v>
      </c>
      <c r="G57" t="str">
        <f>"32205"</f>
        <v>32205</v>
      </c>
    </row>
    <row r="58" spans="1:7" x14ac:dyDescent="0.25">
      <c r="A58" t="s">
        <v>57</v>
      </c>
      <c r="B58" t="s">
        <v>690</v>
      </c>
      <c r="C58" t="s">
        <v>1306</v>
      </c>
      <c r="D58" t="s">
        <v>1463</v>
      </c>
      <c r="E58" t="str">
        <f>"91104"</f>
        <v>91104</v>
      </c>
      <c r="F58" t="s">
        <v>1547</v>
      </c>
      <c r="G58" t="str">
        <f>"32258"</f>
        <v>32258</v>
      </c>
    </row>
    <row r="59" spans="1:7" x14ac:dyDescent="0.25">
      <c r="A59" t="s">
        <v>58</v>
      </c>
      <c r="B59" t="s">
        <v>691</v>
      </c>
      <c r="C59" t="s">
        <v>1307</v>
      </c>
      <c r="D59" t="s">
        <v>1467</v>
      </c>
      <c r="E59" t="str">
        <f>"78746"</f>
        <v>78746</v>
      </c>
      <c r="F59" t="s">
        <v>1548</v>
      </c>
      <c r="G59" t="str">
        <f>"32226"</f>
        <v>32226</v>
      </c>
    </row>
    <row r="60" spans="1:7" x14ac:dyDescent="0.25">
      <c r="A60" t="s">
        <v>59</v>
      </c>
      <c r="B60" t="s">
        <v>692</v>
      </c>
      <c r="C60" t="s">
        <v>1286</v>
      </c>
      <c r="D60" t="s">
        <v>1458</v>
      </c>
      <c r="E60" t="str">
        <f>"32218"</f>
        <v>32218</v>
      </c>
      <c r="F60" t="s">
        <v>1549</v>
      </c>
      <c r="G60" t="str">
        <f>"32254"</f>
        <v>32254</v>
      </c>
    </row>
    <row r="61" spans="1:7" x14ac:dyDescent="0.25">
      <c r="A61" t="s">
        <v>60</v>
      </c>
      <c r="B61" t="s">
        <v>693</v>
      </c>
      <c r="C61" t="s">
        <v>1286</v>
      </c>
      <c r="D61" t="s">
        <v>1458</v>
      </c>
      <c r="E61" t="str">
        <f>"32225"</f>
        <v>32225</v>
      </c>
      <c r="F61" t="s">
        <v>1550</v>
      </c>
      <c r="G61" t="str">
        <f>"32210"</f>
        <v>32210</v>
      </c>
    </row>
    <row r="62" spans="1:7" x14ac:dyDescent="0.25">
      <c r="A62" t="s">
        <v>61</v>
      </c>
      <c r="B62" t="s">
        <v>694</v>
      </c>
      <c r="C62" t="s">
        <v>1296</v>
      </c>
      <c r="D62" t="s">
        <v>1458</v>
      </c>
      <c r="E62" t="str">
        <f>"33177"</f>
        <v>33177</v>
      </c>
      <c r="F62" t="s">
        <v>1551</v>
      </c>
      <c r="G62" t="str">
        <f>"32216"</f>
        <v>32216</v>
      </c>
    </row>
    <row r="63" spans="1:7" x14ac:dyDescent="0.25">
      <c r="A63" t="s">
        <v>62</v>
      </c>
      <c r="B63" t="s">
        <v>695</v>
      </c>
      <c r="C63" t="s">
        <v>1286</v>
      </c>
      <c r="D63" t="s">
        <v>1458</v>
      </c>
      <c r="E63" t="str">
        <f>"32223"</f>
        <v>32223</v>
      </c>
      <c r="F63" t="s">
        <v>1552</v>
      </c>
      <c r="G63" t="str">
        <f>"32210"</f>
        <v>32210</v>
      </c>
    </row>
    <row r="64" spans="1:7" x14ac:dyDescent="0.25">
      <c r="A64" t="s">
        <v>63</v>
      </c>
      <c r="B64" t="s">
        <v>687</v>
      </c>
      <c r="C64" t="s">
        <v>1308</v>
      </c>
      <c r="D64" t="s">
        <v>1458</v>
      </c>
      <c r="E64" t="str">
        <f>"33409"</f>
        <v>33409</v>
      </c>
      <c r="F64" t="s">
        <v>1553</v>
      </c>
      <c r="G64" t="str">
        <f>"32205"</f>
        <v>32205</v>
      </c>
    </row>
    <row r="65" spans="1:7" x14ac:dyDescent="0.25">
      <c r="A65" t="s">
        <v>64</v>
      </c>
      <c r="B65" t="s">
        <v>696</v>
      </c>
      <c r="C65" t="s">
        <v>1309</v>
      </c>
      <c r="D65" t="s">
        <v>1463</v>
      </c>
      <c r="E65" t="str">
        <f>"92735"</f>
        <v>92735</v>
      </c>
      <c r="F65" t="s">
        <v>1554</v>
      </c>
      <c r="G65" t="str">
        <f>"32223"</f>
        <v>32223</v>
      </c>
    </row>
    <row r="66" spans="1:7" x14ac:dyDescent="0.25">
      <c r="A66" t="s">
        <v>65</v>
      </c>
      <c r="B66" t="s">
        <v>697</v>
      </c>
      <c r="C66" t="s">
        <v>1310</v>
      </c>
      <c r="D66" t="s">
        <v>1458</v>
      </c>
      <c r="E66" t="str">
        <f>"33161"</f>
        <v>33161</v>
      </c>
      <c r="F66" t="s">
        <v>1555</v>
      </c>
      <c r="G66" t="str">
        <f>"32244"</f>
        <v>32244</v>
      </c>
    </row>
    <row r="67" spans="1:7" x14ac:dyDescent="0.25">
      <c r="A67" t="s">
        <v>66</v>
      </c>
      <c r="B67" t="s">
        <v>698</v>
      </c>
      <c r="C67" t="s">
        <v>1286</v>
      </c>
      <c r="D67" t="s">
        <v>1458</v>
      </c>
      <c r="E67" t="str">
        <f>"32216"</f>
        <v>32216</v>
      </c>
      <c r="F67" t="s">
        <v>1556</v>
      </c>
      <c r="G67" t="str">
        <f>"32207"</f>
        <v>32207</v>
      </c>
    </row>
    <row r="68" spans="1:7" x14ac:dyDescent="0.25">
      <c r="A68" t="s">
        <v>67</v>
      </c>
      <c r="B68" t="s">
        <v>699</v>
      </c>
      <c r="C68" t="s">
        <v>1305</v>
      </c>
      <c r="D68" t="s">
        <v>1458</v>
      </c>
      <c r="E68" t="str">
        <f>"32092"</f>
        <v>32092</v>
      </c>
      <c r="F68" t="s">
        <v>1557</v>
      </c>
      <c r="G68" t="str">
        <f>"32244"</f>
        <v>32244</v>
      </c>
    </row>
    <row r="69" spans="1:7" x14ac:dyDescent="0.25">
      <c r="A69" t="s">
        <v>68</v>
      </c>
      <c r="B69" t="s">
        <v>700</v>
      </c>
      <c r="C69" t="s">
        <v>1286</v>
      </c>
      <c r="D69" t="s">
        <v>1458</v>
      </c>
      <c r="E69" t="str">
        <f>"32223"</f>
        <v>32223</v>
      </c>
      <c r="F69" t="s">
        <v>1558</v>
      </c>
      <c r="G69" t="str">
        <f>"32257"</f>
        <v>32257</v>
      </c>
    </row>
    <row r="70" spans="1:7" x14ac:dyDescent="0.25">
      <c r="A70" t="s">
        <v>69</v>
      </c>
      <c r="B70" t="s">
        <v>701</v>
      </c>
      <c r="C70" t="s">
        <v>1311</v>
      </c>
      <c r="D70" t="s">
        <v>1463</v>
      </c>
      <c r="E70" t="str">
        <f>"94549"</f>
        <v>94549</v>
      </c>
      <c r="F70" t="s">
        <v>1559</v>
      </c>
      <c r="G70" t="str">
        <f>"32205"</f>
        <v>32205</v>
      </c>
    </row>
    <row r="71" spans="1:7" x14ac:dyDescent="0.25">
      <c r="A71" t="s">
        <v>70</v>
      </c>
      <c r="B71" t="s">
        <v>702</v>
      </c>
      <c r="C71" t="s">
        <v>1286</v>
      </c>
      <c r="D71" t="s">
        <v>1458</v>
      </c>
      <c r="E71" t="str">
        <f>"32204"</f>
        <v>32204</v>
      </c>
      <c r="F71" t="s">
        <v>1560</v>
      </c>
      <c r="G71" t="str">
        <f>"32218"</f>
        <v>32218</v>
      </c>
    </row>
    <row r="72" spans="1:7" x14ac:dyDescent="0.25">
      <c r="A72" t="s">
        <v>71</v>
      </c>
      <c r="B72" t="s">
        <v>703</v>
      </c>
      <c r="C72" t="s">
        <v>1286</v>
      </c>
      <c r="D72" t="s">
        <v>1458</v>
      </c>
      <c r="E72" t="str">
        <f>"32218"</f>
        <v>32218</v>
      </c>
      <c r="F72" t="s">
        <v>1561</v>
      </c>
      <c r="G72" t="str">
        <f>"32218"</f>
        <v>32218</v>
      </c>
    </row>
    <row r="73" spans="1:7" x14ac:dyDescent="0.25">
      <c r="A73" t="s">
        <v>72</v>
      </c>
      <c r="B73" t="s">
        <v>704</v>
      </c>
      <c r="C73" t="s">
        <v>1313</v>
      </c>
      <c r="D73" t="s">
        <v>1468</v>
      </c>
      <c r="E73" t="str">
        <f>"63628"</f>
        <v>63628</v>
      </c>
      <c r="F73" t="s">
        <v>1562</v>
      </c>
      <c r="G73" t="str">
        <f>"32211"</f>
        <v>32211</v>
      </c>
    </row>
    <row r="74" spans="1:7" x14ac:dyDescent="0.25">
      <c r="A74" t="s">
        <v>68</v>
      </c>
      <c r="B74" t="s">
        <v>705</v>
      </c>
      <c r="C74" t="s">
        <v>1286</v>
      </c>
      <c r="D74" t="s">
        <v>1458</v>
      </c>
      <c r="E74" t="str">
        <f>"32218"</f>
        <v>32218</v>
      </c>
      <c r="F74" t="s">
        <v>1563</v>
      </c>
      <c r="G74" t="str">
        <f>"32205"</f>
        <v>32205</v>
      </c>
    </row>
    <row r="75" spans="1:7" x14ac:dyDescent="0.25">
      <c r="A75" t="s">
        <v>73</v>
      </c>
      <c r="B75" t="s">
        <v>706</v>
      </c>
      <c r="C75" t="s">
        <v>1314</v>
      </c>
      <c r="D75" t="s">
        <v>1469</v>
      </c>
      <c r="E75" t="str">
        <f>"84720"</f>
        <v>84720</v>
      </c>
      <c r="F75" t="s">
        <v>1564</v>
      </c>
      <c r="G75" t="str">
        <f>"32208"</f>
        <v>32208</v>
      </c>
    </row>
    <row r="76" spans="1:7" x14ac:dyDescent="0.25">
      <c r="A76" t="s">
        <v>74</v>
      </c>
      <c r="B76" t="s">
        <v>707</v>
      </c>
      <c r="C76" t="s">
        <v>1286</v>
      </c>
      <c r="D76" t="s">
        <v>1458</v>
      </c>
      <c r="E76" t="str">
        <f>"32224"</f>
        <v>32224</v>
      </c>
      <c r="F76" t="s">
        <v>1565</v>
      </c>
      <c r="G76" t="str">
        <f>"32210"</f>
        <v>32210</v>
      </c>
    </row>
    <row r="77" spans="1:7" x14ac:dyDescent="0.25">
      <c r="A77" t="s">
        <v>75</v>
      </c>
      <c r="B77" t="s">
        <v>708</v>
      </c>
      <c r="C77" t="s">
        <v>1296</v>
      </c>
      <c r="D77" t="s">
        <v>1458</v>
      </c>
      <c r="E77" t="str">
        <f>"33173"</f>
        <v>33173</v>
      </c>
      <c r="F77" t="s">
        <v>1566</v>
      </c>
      <c r="G77" t="str">
        <f>"32208"</f>
        <v>32208</v>
      </c>
    </row>
    <row r="78" spans="1:7" x14ac:dyDescent="0.25">
      <c r="A78" t="s">
        <v>76</v>
      </c>
      <c r="B78" t="s">
        <v>709</v>
      </c>
      <c r="C78" t="s">
        <v>1286</v>
      </c>
      <c r="D78" t="s">
        <v>1458</v>
      </c>
      <c r="E78" t="str">
        <f>"32257"</f>
        <v>32257</v>
      </c>
      <c r="F78" t="s">
        <v>1567</v>
      </c>
      <c r="G78" t="str">
        <f>"32257"</f>
        <v>32257</v>
      </c>
    </row>
    <row r="79" spans="1:7" x14ac:dyDescent="0.25">
      <c r="A79" t="s">
        <v>77</v>
      </c>
      <c r="B79" t="s">
        <v>710</v>
      </c>
      <c r="C79" t="s">
        <v>1304</v>
      </c>
      <c r="D79" t="s">
        <v>1458</v>
      </c>
      <c r="E79" t="str">
        <f>"32804"</f>
        <v>32804</v>
      </c>
      <c r="F79" t="s">
        <v>1568</v>
      </c>
      <c r="G79" t="str">
        <f>"32254"</f>
        <v>32254</v>
      </c>
    </row>
    <row r="80" spans="1:7" x14ac:dyDescent="0.25">
      <c r="A80" t="s">
        <v>78</v>
      </c>
      <c r="B80" t="s">
        <v>711</v>
      </c>
      <c r="C80" t="s">
        <v>1315</v>
      </c>
      <c r="D80" t="s">
        <v>1458</v>
      </c>
      <c r="E80" t="str">
        <f>"34677"</f>
        <v>34677</v>
      </c>
      <c r="F80" t="s">
        <v>1569</v>
      </c>
      <c r="G80" t="str">
        <f>"32223"</f>
        <v>32223</v>
      </c>
    </row>
    <row r="81" spans="1:7" x14ac:dyDescent="0.25">
      <c r="A81" t="s">
        <v>79</v>
      </c>
      <c r="B81" t="s">
        <v>712</v>
      </c>
      <c r="C81" t="s">
        <v>1286</v>
      </c>
      <c r="D81" t="s">
        <v>1458</v>
      </c>
      <c r="E81" t="str">
        <f>"32216"</f>
        <v>32216</v>
      </c>
      <c r="F81" t="s">
        <v>1570</v>
      </c>
      <c r="G81" t="str">
        <f>"32244"</f>
        <v>32244</v>
      </c>
    </row>
    <row r="82" spans="1:7" x14ac:dyDescent="0.25">
      <c r="A82" t="s">
        <v>80</v>
      </c>
      <c r="B82" t="s">
        <v>713</v>
      </c>
      <c r="C82" t="s">
        <v>1290</v>
      </c>
      <c r="D82" t="s">
        <v>1458</v>
      </c>
      <c r="E82" t="str">
        <f>"32065"</f>
        <v>32065</v>
      </c>
      <c r="F82" t="s">
        <v>1571</v>
      </c>
      <c r="G82" t="str">
        <f>"32244"</f>
        <v>32244</v>
      </c>
    </row>
    <row r="83" spans="1:7" x14ac:dyDescent="0.25">
      <c r="A83" t="s">
        <v>81</v>
      </c>
      <c r="B83" t="s">
        <v>714</v>
      </c>
      <c r="C83" t="s">
        <v>1316</v>
      </c>
      <c r="D83" t="s">
        <v>1458</v>
      </c>
      <c r="E83" t="str">
        <f>"32259"</f>
        <v>32259</v>
      </c>
      <c r="F83" t="s">
        <v>1572</v>
      </c>
      <c r="G83" t="str">
        <f>"32221"</f>
        <v>32221</v>
      </c>
    </row>
    <row r="84" spans="1:7" x14ac:dyDescent="0.25">
      <c r="A84" t="s">
        <v>82</v>
      </c>
      <c r="B84" t="s">
        <v>715</v>
      </c>
      <c r="C84" t="s">
        <v>1286</v>
      </c>
      <c r="D84" t="s">
        <v>1458</v>
      </c>
      <c r="E84" t="str">
        <f>"32211"</f>
        <v>32211</v>
      </c>
      <c r="F84" t="s">
        <v>1573</v>
      </c>
      <c r="G84" t="str">
        <f>"32244"</f>
        <v>32244</v>
      </c>
    </row>
    <row r="85" spans="1:7" x14ac:dyDescent="0.25">
      <c r="A85" t="s">
        <v>83</v>
      </c>
      <c r="B85" t="s">
        <v>716</v>
      </c>
      <c r="C85" t="s">
        <v>1317</v>
      </c>
      <c r="D85" t="s">
        <v>1458</v>
      </c>
      <c r="E85" t="str">
        <f>"34202"</f>
        <v>34202</v>
      </c>
      <c r="F85" t="s">
        <v>1574</v>
      </c>
      <c r="G85" t="str">
        <f>"32216"</f>
        <v>32216</v>
      </c>
    </row>
    <row r="86" spans="1:7" x14ac:dyDescent="0.25">
      <c r="A86" t="s">
        <v>84</v>
      </c>
      <c r="B86" t="s">
        <v>717</v>
      </c>
      <c r="C86" t="s">
        <v>1286</v>
      </c>
      <c r="D86" t="s">
        <v>1458</v>
      </c>
      <c r="E86" t="str">
        <f>"32221"</f>
        <v>32221</v>
      </c>
      <c r="F86" t="s">
        <v>1575</v>
      </c>
      <c r="G86" t="str">
        <f>"32221"</f>
        <v>32221</v>
      </c>
    </row>
    <row r="87" spans="1:7" x14ac:dyDescent="0.25">
      <c r="A87" t="s">
        <v>85</v>
      </c>
      <c r="B87" t="s">
        <v>718</v>
      </c>
      <c r="C87" t="s">
        <v>1286</v>
      </c>
      <c r="D87" t="s">
        <v>1458</v>
      </c>
      <c r="E87" t="str">
        <f>"32244"</f>
        <v>32244</v>
      </c>
      <c r="F87" t="s">
        <v>1576</v>
      </c>
      <c r="G87" t="str">
        <f>"32244"</f>
        <v>32244</v>
      </c>
    </row>
    <row r="88" spans="1:7" x14ac:dyDescent="0.25">
      <c r="A88" t="s">
        <v>86</v>
      </c>
      <c r="B88" t="s">
        <v>719</v>
      </c>
      <c r="C88" t="s">
        <v>1286</v>
      </c>
      <c r="D88" t="s">
        <v>1458</v>
      </c>
      <c r="E88" t="str">
        <f>"32206"</f>
        <v>32206</v>
      </c>
      <c r="F88" t="s">
        <v>1577</v>
      </c>
      <c r="G88" t="str">
        <f>"32208"</f>
        <v>32208</v>
      </c>
    </row>
    <row r="89" spans="1:7" x14ac:dyDescent="0.25">
      <c r="A89" t="s">
        <v>87</v>
      </c>
      <c r="B89" t="s">
        <v>720</v>
      </c>
      <c r="C89" t="s">
        <v>1286</v>
      </c>
      <c r="D89" t="s">
        <v>1458</v>
      </c>
      <c r="E89" t="str">
        <f>"32221"</f>
        <v>32221</v>
      </c>
      <c r="F89" t="s">
        <v>1578</v>
      </c>
      <c r="G89" t="str">
        <f>"32220"</f>
        <v>32220</v>
      </c>
    </row>
    <row r="90" spans="1:7" x14ac:dyDescent="0.25">
      <c r="A90" t="s">
        <v>88</v>
      </c>
      <c r="B90" t="s">
        <v>721</v>
      </c>
      <c r="C90" t="s">
        <v>1318</v>
      </c>
      <c r="D90" t="s">
        <v>1463</v>
      </c>
      <c r="E90" t="str">
        <f>"94611"</f>
        <v>94611</v>
      </c>
      <c r="F90" t="s">
        <v>1579</v>
      </c>
      <c r="G90" t="str">
        <f>"32209"</f>
        <v>32209</v>
      </c>
    </row>
    <row r="91" spans="1:7" x14ac:dyDescent="0.25">
      <c r="A91" t="s">
        <v>89</v>
      </c>
      <c r="B91" t="s">
        <v>722</v>
      </c>
      <c r="C91" t="s">
        <v>1288</v>
      </c>
      <c r="D91" t="s">
        <v>1458</v>
      </c>
      <c r="E91" t="str">
        <f>"32259"</f>
        <v>32259</v>
      </c>
      <c r="F91" t="s">
        <v>1580</v>
      </c>
      <c r="G91" t="str">
        <f>"32277"</f>
        <v>32277</v>
      </c>
    </row>
    <row r="92" spans="1:7" x14ac:dyDescent="0.25">
      <c r="A92" t="s">
        <v>90</v>
      </c>
      <c r="B92" t="s">
        <v>723</v>
      </c>
      <c r="C92" t="s">
        <v>1286</v>
      </c>
      <c r="D92" t="s">
        <v>1458</v>
      </c>
      <c r="E92" t="str">
        <f>"32208"</f>
        <v>32208</v>
      </c>
      <c r="F92" t="s">
        <v>1581</v>
      </c>
      <c r="G92" t="str">
        <f>"32209"</f>
        <v>32209</v>
      </c>
    </row>
    <row r="93" spans="1:7" x14ac:dyDescent="0.25">
      <c r="A93" t="s">
        <v>91</v>
      </c>
      <c r="B93" t="s">
        <v>724</v>
      </c>
      <c r="C93" t="s">
        <v>1286</v>
      </c>
      <c r="D93" t="s">
        <v>1458</v>
      </c>
      <c r="E93" t="str">
        <f>"32204"</f>
        <v>32204</v>
      </c>
      <c r="F93" t="s">
        <v>1582</v>
      </c>
      <c r="G93" t="str">
        <f>"32205"</f>
        <v>32205</v>
      </c>
    </row>
    <row r="94" spans="1:7" x14ac:dyDescent="0.25">
      <c r="A94" t="s">
        <v>92</v>
      </c>
      <c r="B94" t="s">
        <v>725</v>
      </c>
      <c r="C94" t="s">
        <v>1320</v>
      </c>
      <c r="D94" t="s">
        <v>1470</v>
      </c>
      <c r="E94" t="str">
        <f>"30906"</f>
        <v>30906</v>
      </c>
      <c r="F94" t="s">
        <v>1583</v>
      </c>
      <c r="G94" t="str">
        <f>"32205"</f>
        <v>32205</v>
      </c>
    </row>
    <row r="95" spans="1:7" x14ac:dyDescent="0.25">
      <c r="A95" t="s">
        <v>93</v>
      </c>
      <c r="B95" t="s">
        <v>726</v>
      </c>
      <c r="C95" t="s">
        <v>1286</v>
      </c>
      <c r="D95" t="s">
        <v>1458</v>
      </c>
      <c r="E95" t="str">
        <f>"32238"</f>
        <v>32238</v>
      </c>
      <c r="F95" t="s">
        <v>1584</v>
      </c>
      <c r="G95" t="str">
        <f>"32208"</f>
        <v>32208</v>
      </c>
    </row>
    <row r="96" spans="1:7" x14ac:dyDescent="0.25">
      <c r="A96" t="s">
        <v>94</v>
      </c>
      <c r="B96" t="s">
        <v>727</v>
      </c>
      <c r="C96" t="s">
        <v>1287</v>
      </c>
      <c r="D96" t="s">
        <v>1458</v>
      </c>
      <c r="E96" t="str">
        <f>"32081"</f>
        <v>32081</v>
      </c>
      <c r="F96" t="s">
        <v>1585</v>
      </c>
      <c r="G96" t="str">
        <f>"32211"</f>
        <v>32211</v>
      </c>
    </row>
    <row r="97" spans="1:7" x14ac:dyDescent="0.25">
      <c r="A97" t="s">
        <v>95</v>
      </c>
      <c r="B97" t="s">
        <v>728</v>
      </c>
      <c r="C97" t="s">
        <v>1321</v>
      </c>
      <c r="D97" t="s">
        <v>1471</v>
      </c>
      <c r="E97" t="str">
        <f>"07950"</f>
        <v>07950</v>
      </c>
      <c r="F97" t="s">
        <v>1586</v>
      </c>
      <c r="G97" t="str">
        <f>"32205"</f>
        <v>32205</v>
      </c>
    </row>
    <row r="98" spans="1:7" x14ac:dyDescent="0.25">
      <c r="A98" t="s">
        <v>96</v>
      </c>
      <c r="B98" t="s">
        <v>729</v>
      </c>
      <c r="C98" t="s">
        <v>1286</v>
      </c>
      <c r="D98" t="s">
        <v>1458</v>
      </c>
      <c r="E98" t="str">
        <f>"32246"</f>
        <v>32246</v>
      </c>
      <c r="F98" t="s">
        <v>1587</v>
      </c>
      <c r="G98" t="str">
        <f>"32211"</f>
        <v>32211</v>
      </c>
    </row>
    <row r="99" spans="1:7" x14ac:dyDescent="0.25">
      <c r="A99" t="s">
        <v>97</v>
      </c>
      <c r="B99" t="s">
        <v>730</v>
      </c>
      <c r="C99" t="s">
        <v>1286</v>
      </c>
      <c r="D99" t="s">
        <v>1458</v>
      </c>
      <c r="E99" t="str">
        <f>"32257"</f>
        <v>32257</v>
      </c>
      <c r="F99" t="s">
        <v>1588</v>
      </c>
      <c r="G99" t="str">
        <f>"32205"</f>
        <v>32205</v>
      </c>
    </row>
    <row r="100" spans="1:7" x14ac:dyDescent="0.25">
      <c r="A100" t="s">
        <v>98</v>
      </c>
      <c r="B100" t="s">
        <v>731</v>
      </c>
      <c r="C100" t="s">
        <v>1286</v>
      </c>
      <c r="D100" t="s">
        <v>1458</v>
      </c>
      <c r="E100" t="str">
        <f>"32225"</f>
        <v>32225</v>
      </c>
      <c r="F100" t="s">
        <v>1589</v>
      </c>
      <c r="G100" t="str">
        <f>"32225"</f>
        <v>32225</v>
      </c>
    </row>
    <row r="101" spans="1:7" x14ac:dyDescent="0.25">
      <c r="A101" t="s">
        <v>99</v>
      </c>
      <c r="B101" t="s">
        <v>732</v>
      </c>
      <c r="C101" t="s">
        <v>1286</v>
      </c>
      <c r="D101" t="s">
        <v>1458</v>
      </c>
      <c r="E101" t="str">
        <f>"32225"</f>
        <v>32225</v>
      </c>
      <c r="F101" t="s">
        <v>1590</v>
      </c>
      <c r="G101" t="str">
        <f>"32211"</f>
        <v>32211</v>
      </c>
    </row>
    <row r="102" spans="1:7" x14ac:dyDescent="0.25">
      <c r="A102" t="s">
        <v>100</v>
      </c>
      <c r="B102" t="s">
        <v>733</v>
      </c>
      <c r="C102" t="s">
        <v>1299</v>
      </c>
      <c r="D102" t="s">
        <v>1462</v>
      </c>
      <c r="E102" t="str">
        <f>"10003"</f>
        <v>10003</v>
      </c>
      <c r="F102" t="s">
        <v>1591</v>
      </c>
      <c r="G102" t="str">
        <f>"32210"</f>
        <v>32210</v>
      </c>
    </row>
    <row r="103" spans="1:7" x14ac:dyDescent="0.25">
      <c r="A103" t="s">
        <v>101</v>
      </c>
      <c r="B103" t="s">
        <v>734</v>
      </c>
      <c r="C103" t="s">
        <v>1287</v>
      </c>
      <c r="D103" t="s">
        <v>1458</v>
      </c>
      <c r="E103" t="str">
        <f>"32081"</f>
        <v>32081</v>
      </c>
      <c r="F103" t="s">
        <v>1592</v>
      </c>
      <c r="G103" t="str">
        <f>"32205"</f>
        <v>32205</v>
      </c>
    </row>
    <row r="104" spans="1:7" x14ac:dyDescent="0.25">
      <c r="A104" t="s">
        <v>102</v>
      </c>
      <c r="B104" t="s">
        <v>735</v>
      </c>
      <c r="C104" t="s">
        <v>1322</v>
      </c>
      <c r="D104" t="s">
        <v>1472</v>
      </c>
      <c r="E104" t="str">
        <f>"06460"</f>
        <v>06460</v>
      </c>
      <c r="F104" t="s">
        <v>1593</v>
      </c>
      <c r="G104" t="str">
        <f>"32210"</f>
        <v>32210</v>
      </c>
    </row>
    <row r="105" spans="1:7" x14ac:dyDescent="0.25">
      <c r="A105" t="s">
        <v>103</v>
      </c>
      <c r="B105" t="s">
        <v>736</v>
      </c>
      <c r="C105" t="s">
        <v>1323</v>
      </c>
      <c r="D105" t="s">
        <v>1458</v>
      </c>
      <c r="E105" t="str">
        <f>"33308"</f>
        <v>33308</v>
      </c>
      <c r="F105" t="s">
        <v>1594</v>
      </c>
      <c r="G105" t="str">
        <f>"32208"</f>
        <v>32208</v>
      </c>
    </row>
    <row r="106" spans="1:7" x14ac:dyDescent="0.25">
      <c r="A106" t="s">
        <v>104</v>
      </c>
      <c r="B106" t="s">
        <v>737</v>
      </c>
      <c r="C106" t="s">
        <v>1286</v>
      </c>
      <c r="D106" t="s">
        <v>1458</v>
      </c>
      <c r="E106" t="str">
        <f>"32218"</f>
        <v>32218</v>
      </c>
      <c r="F106" t="s">
        <v>1595</v>
      </c>
      <c r="G106" t="str">
        <f>"32218"</f>
        <v>32218</v>
      </c>
    </row>
    <row r="107" spans="1:7" x14ac:dyDescent="0.25">
      <c r="A107" t="s">
        <v>105</v>
      </c>
      <c r="B107" t="s">
        <v>738</v>
      </c>
      <c r="C107" t="s">
        <v>1286</v>
      </c>
      <c r="D107" t="s">
        <v>1458</v>
      </c>
      <c r="E107" t="str">
        <f>"32211"</f>
        <v>32211</v>
      </c>
      <c r="F107" t="s">
        <v>1596</v>
      </c>
      <c r="G107" t="str">
        <f>"32209"</f>
        <v>32209</v>
      </c>
    </row>
    <row r="108" spans="1:7" x14ac:dyDescent="0.25">
      <c r="A108" t="s">
        <v>106</v>
      </c>
      <c r="B108" t="s">
        <v>739</v>
      </c>
      <c r="C108" t="s">
        <v>1292</v>
      </c>
      <c r="D108" t="s">
        <v>1459</v>
      </c>
      <c r="E108" t="str">
        <f>"85261"</f>
        <v>85261</v>
      </c>
      <c r="F108" t="s">
        <v>1597</v>
      </c>
      <c r="G108" t="str">
        <f>"32222"</f>
        <v>32222</v>
      </c>
    </row>
    <row r="109" spans="1:7" x14ac:dyDescent="0.25">
      <c r="A109" t="s">
        <v>107</v>
      </c>
      <c r="B109" t="s">
        <v>740</v>
      </c>
      <c r="C109" t="s">
        <v>1286</v>
      </c>
      <c r="D109" t="s">
        <v>1458</v>
      </c>
      <c r="E109" t="str">
        <f>"32244"</f>
        <v>32244</v>
      </c>
      <c r="F109" t="s">
        <v>1598</v>
      </c>
      <c r="G109" t="str">
        <f>"32210"</f>
        <v>32210</v>
      </c>
    </row>
    <row r="110" spans="1:7" x14ac:dyDescent="0.25">
      <c r="A110" t="s">
        <v>108</v>
      </c>
      <c r="B110" t="s">
        <v>741</v>
      </c>
      <c r="C110" t="s">
        <v>1286</v>
      </c>
      <c r="D110" t="s">
        <v>1458</v>
      </c>
      <c r="E110" t="str">
        <f>"32206"</f>
        <v>32206</v>
      </c>
      <c r="F110" t="s">
        <v>1599</v>
      </c>
      <c r="G110" t="str">
        <f>"32208"</f>
        <v>32208</v>
      </c>
    </row>
    <row r="111" spans="1:7" x14ac:dyDescent="0.25">
      <c r="A111" t="s">
        <v>109</v>
      </c>
      <c r="B111" t="s">
        <v>742</v>
      </c>
      <c r="C111" t="s">
        <v>1286</v>
      </c>
      <c r="D111" t="s">
        <v>1458</v>
      </c>
      <c r="E111" t="str">
        <f>"32204"</f>
        <v>32204</v>
      </c>
      <c r="F111" t="s">
        <v>1600</v>
      </c>
      <c r="G111" t="str">
        <f>"32205"</f>
        <v>32205</v>
      </c>
    </row>
    <row r="112" spans="1:7" x14ac:dyDescent="0.25">
      <c r="A112" t="s">
        <v>110</v>
      </c>
      <c r="B112" t="s">
        <v>743</v>
      </c>
      <c r="C112" t="s">
        <v>1324</v>
      </c>
      <c r="D112" t="s">
        <v>1458</v>
      </c>
      <c r="E112" t="str">
        <f>"33426"</f>
        <v>33426</v>
      </c>
      <c r="F112" t="s">
        <v>1601</v>
      </c>
      <c r="G112" t="str">
        <f>"32206"</f>
        <v>32206</v>
      </c>
    </row>
    <row r="113" spans="1:7" x14ac:dyDescent="0.25">
      <c r="A113" t="s">
        <v>111</v>
      </c>
      <c r="B113" t="s">
        <v>744</v>
      </c>
      <c r="C113" t="s">
        <v>1286</v>
      </c>
      <c r="D113" t="s">
        <v>1458</v>
      </c>
      <c r="E113" t="str">
        <f>"32257"</f>
        <v>32257</v>
      </c>
      <c r="F113" t="s">
        <v>744</v>
      </c>
      <c r="G113" t="str">
        <f>"32257"</f>
        <v>32257</v>
      </c>
    </row>
    <row r="114" spans="1:7" x14ac:dyDescent="0.25">
      <c r="A114" t="s">
        <v>112</v>
      </c>
      <c r="B114" t="s">
        <v>745</v>
      </c>
      <c r="C114" t="s">
        <v>1325</v>
      </c>
      <c r="D114" t="s">
        <v>1463</v>
      </c>
      <c r="E114" t="str">
        <f>"93206"</f>
        <v>93206</v>
      </c>
      <c r="F114" t="s">
        <v>1602</v>
      </c>
      <c r="G114" t="str">
        <f>"32225"</f>
        <v>32225</v>
      </c>
    </row>
    <row r="115" spans="1:7" x14ac:dyDescent="0.25">
      <c r="A115" t="s">
        <v>113</v>
      </c>
      <c r="B115" t="s">
        <v>746</v>
      </c>
      <c r="C115" t="s">
        <v>1288</v>
      </c>
      <c r="D115" t="s">
        <v>1458</v>
      </c>
      <c r="E115" t="str">
        <f>"32259"</f>
        <v>32259</v>
      </c>
      <c r="F115" t="s">
        <v>1603</v>
      </c>
      <c r="G115" t="str">
        <f>"32218"</f>
        <v>32218</v>
      </c>
    </row>
    <row r="116" spans="1:7" x14ac:dyDescent="0.25">
      <c r="A116" t="s">
        <v>114</v>
      </c>
      <c r="B116" t="s">
        <v>747</v>
      </c>
      <c r="C116" t="s">
        <v>1286</v>
      </c>
      <c r="D116" t="s">
        <v>1458</v>
      </c>
      <c r="E116" t="str">
        <f>"32207"</f>
        <v>32207</v>
      </c>
      <c r="F116" t="s">
        <v>1604</v>
      </c>
      <c r="G116" t="str">
        <f>"32209"</f>
        <v>32209</v>
      </c>
    </row>
    <row r="117" spans="1:7" x14ac:dyDescent="0.25">
      <c r="A117" t="s">
        <v>115</v>
      </c>
      <c r="B117" t="s">
        <v>748</v>
      </c>
      <c r="C117" t="s">
        <v>1286</v>
      </c>
      <c r="D117" t="s">
        <v>1458</v>
      </c>
      <c r="E117" t="str">
        <f>"32256"</f>
        <v>32256</v>
      </c>
      <c r="F117" t="s">
        <v>1605</v>
      </c>
      <c r="G117" t="str">
        <f>"32207"</f>
        <v>32207</v>
      </c>
    </row>
    <row r="118" spans="1:7" x14ac:dyDescent="0.25">
      <c r="A118" t="s">
        <v>116</v>
      </c>
      <c r="B118" t="s">
        <v>749</v>
      </c>
      <c r="C118" t="s">
        <v>1286</v>
      </c>
      <c r="D118" t="s">
        <v>1458</v>
      </c>
      <c r="E118" t="str">
        <f>"32277"</f>
        <v>32277</v>
      </c>
      <c r="F118" t="s">
        <v>1606</v>
      </c>
      <c r="G118" t="str">
        <f>"32277"</f>
        <v>32277</v>
      </c>
    </row>
    <row r="119" spans="1:7" x14ac:dyDescent="0.25">
      <c r="A119" t="s">
        <v>117</v>
      </c>
      <c r="B119" t="s">
        <v>750</v>
      </c>
      <c r="C119" t="s">
        <v>1286</v>
      </c>
      <c r="D119" t="s">
        <v>1458</v>
      </c>
      <c r="E119" t="str">
        <f>"32225"</f>
        <v>32225</v>
      </c>
      <c r="F119" t="s">
        <v>1607</v>
      </c>
      <c r="G119" t="str">
        <f>"32207"</f>
        <v>32207</v>
      </c>
    </row>
    <row r="120" spans="1:7" x14ac:dyDescent="0.25">
      <c r="A120" t="s">
        <v>118</v>
      </c>
      <c r="B120" t="s">
        <v>751</v>
      </c>
      <c r="C120" t="s">
        <v>1286</v>
      </c>
      <c r="D120" t="s">
        <v>1458</v>
      </c>
      <c r="E120" t="str">
        <f>"32219"</f>
        <v>32219</v>
      </c>
      <c r="F120" t="s">
        <v>1608</v>
      </c>
      <c r="G120" t="str">
        <f>"32219"</f>
        <v>32219</v>
      </c>
    </row>
    <row r="121" spans="1:7" x14ac:dyDescent="0.25">
      <c r="A121" t="s">
        <v>119</v>
      </c>
      <c r="B121" t="s">
        <v>752</v>
      </c>
      <c r="C121" t="s">
        <v>1286</v>
      </c>
      <c r="D121" t="s">
        <v>1458</v>
      </c>
      <c r="E121" t="str">
        <f>"32223"</f>
        <v>32223</v>
      </c>
      <c r="F121" t="s">
        <v>1609</v>
      </c>
      <c r="G121" t="str">
        <f>"32250"</f>
        <v>32250</v>
      </c>
    </row>
    <row r="122" spans="1:7" x14ac:dyDescent="0.25">
      <c r="A122" t="s">
        <v>120</v>
      </c>
      <c r="B122" t="s">
        <v>753</v>
      </c>
      <c r="C122" t="s">
        <v>1286</v>
      </c>
      <c r="D122" t="s">
        <v>1458</v>
      </c>
      <c r="E122" t="str">
        <f>"32218"</f>
        <v>32218</v>
      </c>
      <c r="F122" t="s">
        <v>1610</v>
      </c>
      <c r="G122" t="str">
        <f>"32218"</f>
        <v>32218</v>
      </c>
    </row>
    <row r="123" spans="1:7" x14ac:dyDescent="0.25">
      <c r="A123" t="s">
        <v>121</v>
      </c>
      <c r="B123" t="s">
        <v>754</v>
      </c>
      <c r="C123" t="s">
        <v>1286</v>
      </c>
      <c r="D123" t="s">
        <v>1458</v>
      </c>
      <c r="E123" t="str">
        <f>"32210"</f>
        <v>32210</v>
      </c>
      <c r="F123" t="s">
        <v>1611</v>
      </c>
      <c r="G123" t="str">
        <f>"32210"</f>
        <v>32210</v>
      </c>
    </row>
    <row r="124" spans="1:7" x14ac:dyDescent="0.25">
      <c r="A124" t="s">
        <v>122</v>
      </c>
      <c r="B124" t="s">
        <v>755</v>
      </c>
      <c r="C124" t="s">
        <v>1286</v>
      </c>
      <c r="D124" t="s">
        <v>1458</v>
      </c>
      <c r="E124" t="str">
        <f>"32221"</f>
        <v>32221</v>
      </c>
      <c r="F124" t="s">
        <v>1612</v>
      </c>
      <c r="G124" t="str">
        <f>"32220"</f>
        <v>32220</v>
      </c>
    </row>
    <row r="125" spans="1:7" x14ac:dyDescent="0.25">
      <c r="A125" t="s">
        <v>123</v>
      </c>
      <c r="B125" t="s">
        <v>756</v>
      </c>
      <c r="C125" t="s">
        <v>1296</v>
      </c>
      <c r="D125" t="s">
        <v>1458</v>
      </c>
      <c r="E125" t="str">
        <f>"33137"</f>
        <v>33137</v>
      </c>
      <c r="F125" t="s">
        <v>1613</v>
      </c>
      <c r="G125" t="str">
        <f>"32208"</f>
        <v>32208</v>
      </c>
    </row>
    <row r="126" spans="1:7" x14ac:dyDescent="0.25">
      <c r="A126" t="s">
        <v>124</v>
      </c>
      <c r="B126" t="s">
        <v>757</v>
      </c>
      <c r="C126" t="s">
        <v>1286</v>
      </c>
      <c r="D126" t="s">
        <v>1458</v>
      </c>
      <c r="E126" t="str">
        <f>"32210"</f>
        <v>32210</v>
      </c>
      <c r="F126" t="s">
        <v>1614</v>
      </c>
      <c r="G126" t="str">
        <f>"32219"</f>
        <v>32219</v>
      </c>
    </row>
    <row r="127" spans="1:7" x14ac:dyDescent="0.25">
      <c r="A127" t="s">
        <v>125</v>
      </c>
      <c r="B127" t="s">
        <v>758</v>
      </c>
      <c r="C127" t="s">
        <v>1286</v>
      </c>
      <c r="D127" t="s">
        <v>1458</v>
      </c>
      <c r="E127" t="str">
        <f>"32208"</f>
        <v>32208</v>
      </c>
      <c r="F127" t="s">
        <v>1615</v>
      </c>
      <c r="G127" t="str">
        <f>"32208"</f>
        <v>32208</v>
      </c>
    </row>
    <row r="128" spans="1:7" x14ac:dyDescent="0.25">
      <c r="A128" t="s">
        <v>126</v>
      </c>
      <c r="B128" t="s">
        <v>759</v>
      </c>
      <c r="C128" t="s">
        <v>1326</v>
      </c>
      <c r="D128" t="s">
        <v>1458</v>
      </c>
      <c r="E128" t="str">
        <f>"33187"</f>
        <v>33187</v>
      </c>
      <c r="F128" t="s">
        <v>1616</v>
      </c>
      <c r="G128" t="str">
        <f>"32207"</f>
        <v>32207</v>
      </c>
    </row>
    <row r="129" spans="1:7" x14ac:dyDescent="0.25">
      <c r="A129" t="s">
        <v>127</v>
      </c>
      <c r="B129" t="s">
        <v>760</v>
      </c>
      <c r="C129" t="s">
        <v>1287</v>
      </c>
      <c r="D129" t="s">
        <v>1458</v>
      </c>
      <c r="E129" t="str">
        <f>"32004"</f>
        <v>32004</v>
      </c>
      <c r="F129" t="s">
        <v>1617</v>
      </c>
      <c r="G129" t="str">
        <f>"32204"</f>
        <v>32204</v>
      </c>
    </row>
    <row r="130" spans="1:7" x14ac:dyDescent="0.25">
      <c r="A130" t="s">
        <v>128</v>
      </c>
      <c r="B130" t="s">
        <v>761</v>
      </c>
      <c r="C130" t="s">
        <v>1286</v>
      </c>
      <c r="D130" t="s">
        <v>1458</v>
      </c>
      <c r="E130" t="str">
        <f>"32207"</f>
        <v>32207</v>
      </c>
      <c r="F130" t="s">
        <v>1618</v>
      </c>
      <c r="G130" t="str">
        <f>"32218"</f>
        <v>32218</v>
      </c>
    </row>
    <row r="131" spans="1:7" x14ac:dyDescent="0.25">
      <c r="A131" t="s">
        <v>129</v>
      </c>
      <c r="B131" t="s">
        <v>762</v>
      </c>
      <c r="C131" t="s">
        <v>1286</v>
      </c>
      <c r="D131" t="s">
        <v>1458</v>
      </c>
      <c r="E131" t="str">
        <f>"32217"</f>
        <v>32217</v>
      </c>
      <c r="F131" t="s">
        <v>1619</v>
      </c>
      <c r="G131" t="str">
        <f>"32217"</f>
        <v>32217</v>
      </c>
    </row>
    <row r="132" spans="1:7" x14ac:dyDescent="0.25">
      <c r="A132" t="s">
        <v>130</v>
      </c>
      <c r="B132" t="s">
        <v>763</v>
      </c>
      <c r="C132" t="s">
        <v>1286</v>
      </c>
      <c r="D132" t="s">
        <v>1458</v>
      </c>
      <c r="E132" t="str">
        <f>"32208"</f>
        <v>32208</v>
      </c>
      <c r="F132" t="s">
        <v>1620</v>
      </c>
      <c r="G132" t="str">
        <f>"32208"</f>
        <v>32208</v>
      </c>
    </row>
    <row r="133" spans="1:7" x14ac:dyDescent="0.25">
      <c r="A133" t="s">
        <v>131</v>
      </c>
      <c r="B133" t="s">
        <v>764</v>
      </c>
      <c r="C133" t="s">
        <v>1327</v>
      </c>
      <c r="D133" t="s">
        <v>1458</v>
      </c>
      <c r="E133" t="str">
        <f>"32068"</f>
        <v>32068</v>
      </c>
      <c r="F133" t="s">
        <v>1621</v>
      </c>
      <c r="G133" t="str">
        <f>"32223"</f>
        <v>32223</v>
      </c>
    </row>
    <row r="134" spans="1:7" x14ac:dyDescent="0.25">
      <c r="A134" t="s">
        <v>132</v>
      </c>
      <c r="B134" t="s">
        <v>765</v>
      </c>
      <c r="C134" t="s">
        <v>1286</v>
      </c>
      <c r="D134" t="s">
        <v>1458</v>
      </c>
      <c r="E134" t="str">
        <f>"32244"</f>
        <v>32244</v>
      </c>
      <c r="F134" t="s">
        <v>1622</v>
      </c>
      <c r="G134" t="str">
        <f>"32244"</f>
        <v>32244</v>
      </c>
    </row>
    <row r="135" spans="1:7" x14ac:dyDescent="0.25">
      <c r="A135" t="s">
        <v>133</v>
      </c>
      <c r="B135" t="s">
        <v>766</v>
      </c>
      <c r="C135" t="s">
        <v>1328</v>
      </c>
      <c r="D135" t="s">
        <v>1463</v>
      </c>
      <c r="E135" t="str">
        <f>"95621"</f>
        <v>95621</v>
      </c>
      <c r="F135" t="s">
        <v>1623</v>
      </c>
      <c r="G135" t="str">
        <f>"32246"</f>
        <v>32246</v>
      </c>
    </row>
    <row r="136" spans="1:7" x14ac:dyDescent="0.25">
      <c r="A136" t="s">
        <v>134</v>
      </c>
      <c r="B136" t="s">
        <v>767</v>
      </c>
      <c r="C136" t="s">
        <v>1288</v>
      </c>
      <c r="D136" t="s">
        <v>1458</v>
      </c>
      <c r="E136" t="str">
        <f>"32259"</f>
        <v>32259</v>
      </c>
      <c r="F136" t="s">
        <v>1624</v>
      </c>
      <c r="G136" t="str">
        <f>"32246"</f>
        <v>32246</v>
      </c>
    </row>
    <row r="137" spans="1:7" x14ac:dyDescent="0.25">
      <c r="A137" t="s">
        <v>135</v>
      </c>
      <c r="B137" t="s">
        <v>768</v>
      </c>
      <c r="C137" t="s">
        <v>1286</v>
      </c>
      <c r="D137" t="s">
        <v>1458</v>
      </c>
      <c r="E137" t="str">
        <f>"32204"</f>
        <v>32204</v>
      </c>
      <c r="F137" t="s">
        <v>1625</v>
      </c>
      <c r="G137" t="str">
        <f>"32246"</f>
        <v>32246</v>
      </c>
    </row>
    <row r="138" spans="1:7" x14ac:dyDescent="0.25">
      <c r="A138" t="s">
        <v>136</v>
      </c>
      <c r="B138" t="s">
        <v>769</v>
      </c>
      <c r="C138" t="s">
        <v>1286</v>
      </c>
      <c r="D138" t="s">
        <v>1458</v>
      </c>
      <c r="E138" t="str">
        <f>"32258"</f>
        <v>32258</v>
      </c>
      <c r="F138" t="s">
        <v>1626</v>
      </c>
      <c r="G138" t="str">
        <f>"32258"</f>
        <v>32258</v>
      </c>
    </row>
    <row r="139" spans="1:7" x14ac:dyDescent="0.25">
      <c r="A139" t="s">
        <v>137</v>
      </c>
      <c r="B139" t="s">
        <v>770</v>
      </c>
      <c r="C139" t="s">
        <v>1329</v>
      </c>
      <c r="D139" t="s">
        <v>1463</v>
      </c>
      <c r="E139" t="str">
        <f>"92660"</f>
        <v>92660</v>
      </c>
      <c r="F139" t="s">
        <v>1627</v>
      </c>
      <c r="G139" t="str">
        <f>"32225"</f>
        <v>32225</v>
      </c>
    </row>
    <row r="140" spans="1:7" x14ac:dyDescent="0.25">
      <c r="A140" t="s">
        <v>50</v>
      </c>
      <c r="B140" t="s">
        <v>771</v>
      </c>
      <c r="C140" t="s">
        <v>1286</v>
      </c>
      <c r="D140" t="s">
        <v>1458</v>
      </c>
      <c r="E140" t="str">
        <f>"32257"</f>
        <v>32257</v>
      </c>
      <c r="F140" t="s">
        <v>1628</v>
      </c>
      <c r="G140" t="str">
        <f>"32277"</f>
        <v>32277</v>
      </c>
    </row>
    <row r="141" spans="1:7" x14ac:dyDescent="0.25">
      <c r="A141" t="s">
        <v>100</v>
      </c>
      <c r="B141" t="s">
        <v>772</v>
      </c>
      <c r="C141" t="s">
        <v>1330</v>
      </c>
      <c r="D141" t="s">
        <v>1473</v>
      </c>
      <c r="E141" t="str">
        <f>"19901"</f>
        <v>19901</v>
      </c>
      <c r="F141" t="s">
        <v>1629</v>
      </c>
      <c r="G141" t="str">
        <f>"32217"</f>
        <v>32217</v>
      </c>
    </row>
    <row r="142" spans="1:7" x14ac:dyDescent="0.25">
      <c r="A142" t="s">
        <v>138</v>
      </c>
      <c r="B142" t="s">
        <v>773</v>
      </c>
      <c r="C142" t="s">
        <v>1312</v>
      </c>
      <c r="D142" t="s">
        <v>1458</v>
      </c>
      <c r="E142" t="str">
        <f>"33330"</f>
        <v>33330</v>
      </c>
      <c r="F142" t="s">
        <v>1630</v>
      </c>
      <c r="G142" t="str">
        <f>"32208"</f>
        <v>32208</v>
      </c>
    </row>
    <row r="143" spans="1:7" x14ac:dyDescent="0.25">
      <c r="A143" t="s">
        <v>139</v>
      </c>
      <c r="B143" t="s">
        <v>774</v>
      </c>
      <c r="C143" t="s">
        <v>1331</v>
      </c>
      <c r="D143" t="s">
        <v>1458</v>
      </c>
      <c r="E143" t="str">
        <f>"33065"</f>
        <v>33065</v>
      </c>
      <c r="F143" t="s">
        <v>1631</v>
      </c>
      <c r="G143" t="str">
        <f>"32210"</f>
        <v>32210</v>
      </c>
    </row>
    <row r="144" spans="1:7" x14ac:dyDescent="0.25">
      <c r="A144" t="s">
        <v>140</v>
      </c>
      <c r="B144" t="s">
        <v>775</v>
      </c>
      <c r="C144" t="s">
        <v>1286</v>
      </c>
      <c r="D144" t="s">
        <v>1458</v>
      </c>
      <c r="E144" t="str">
        <f>"32225"</f>
        <v>32225</v>
      </c>
      <c r="F144" t="s">
        <v>1632</v>
      </c>
      <c r="G144" t="str">
        <f>"32225"</f>
        <v>32225</v>
      </c>
    </row>
    <row r="145" spans="1:7" x14ac:dyDescent="0.25">
      <c r="A145" t="s">
        <v>141</v>
      </c>
      <c r="B145" t="s">
        <v>776</v>
      </c>
      <c r="C145" t="s">
        <v>1332</v>
      </c>
      <c r="D145" t="s">
        <v>1458</v>
      </c>
      <c r="E145" t="str">
        <f>"32043"</f>
        <v>32043</v>
      </c>
      <c r="F145" t="s">
        <v>1633</v>
      </c>
      <c r="G145" t="str">
        <f>"32224"</f>
        <v>32224</v>
      </c>
    </row>
    <row r="146" spans="1:7" x14ac:dyDescent="0.25">
      <c r="A146" t="s">
        <v>142</v>
      </c>
      <c r="B146" t="s">
        <v>777</v>
      </c>
      <c r="C146" t="s">
        <v>1286</v>
      </c>
      <c r="D146" t="s">
        <v>1458</v>
      </c>
      <c r="E146" t="str">
        <f>"32218"</f>
        <v>32218</v>
      </c>
      <c r="F146" t="s">
        <v>1634</v>
      </c>
      <c r="G146" t="str">
        <f>"32218"</f>
        <v>32218</v>
      </c>
    </row>
    <row r="147" spans="1:7" x14ac:dyDescent="0.25">
      <c r="A147" t="s">
        <v>143</v>
      </c>
      <c r="B147" t="s">
        <v>778</v>
      </c>
      <c r="C147" t="s">
        <v>1286</v>
      </c>
      <c r="D147" t="s">
        <v>1458</v>
      </c>
      <c r="E147" t="str">
        <f>"32256"</f>
        <v>32256</v>
      </c>
      <c r="F147" t="s">
        <v>1635</v>
      </c>
      <c r="G147" t="str">
        <f>"32226"</f>
        <v>32226</v>
      </c>
    </row>
    <row r="148" spans="1:7" x14ac:dyDescent="0.25">
      <c r="A148" t="s">
        <v>144</v>
      </c>
      <c r="B148" t="s">
        <v>779</v>
      </c>
      <c r="C148" t="s">
        <v>1286</v>
      </c>
      <c r="D148" t="s">
        <v>1458</v>
      </c>
      <c r="E148" t="str">
        <f>"32219"</f>
        <v>32219</v>
      </c>
      <c r="F148" t="s">
        <v>1636</v>
      </c>
      <c r="G148" t="str">
        <f>"32226"</f>
        <v>32226</v>
      </c>
    </row>
    <row r="149" spans="1:7" x14ac:dyDescent="0.25">
      <c r="A149" t="s">
        <v>145</v>
      </c>
      <c r="B149" t="s">
        <v>780</v>
      </c>
      <c r="C149" t="s">
        <v>1333</v>
      </c>
      <c r="D149" t="s">
        <v>1474</v>
      </c>
      <c r="E149" t="str">
        <f>"23024"</f>
        <v>23024</v>
      </c>
      <c r="F149" t="s">
        <v>1637</v>
      </c>
      <c r="G149" t="str">
        <f>"32211"</f>
        <v>32211</v>
      </c>
    </row>
    <row r="150" spans="1:7" x14ac:dyDescent="0.25">
      <c r="A150" t="s">
        <v>146</v>
      </c>
      <c r="B150" t="s">
        <v>781</v>
      </c>
      <c r="C150" t="s">
        <v>1334</v>
      </c>
      <c r="D150" t="s">
        <v>1458</v>
      </c>
      <c r="E150" t="str">
        <f>"33960"</f>
        <v>33960</v>
      </c>
      <c r="F150" t="s">
        <v>1638</v>
      </c>
      <c r="G150" t="str">
        <f>"32205"</f>
        <v>32205</v>
      </c>
    </row>
    <row r="151" spans="1:7" x14ac:dyDescent="0.25">
      <c r="A151" t="s">
        <v>147</v>
      </c>
      <c r="B151" t="s">
        <v>782</v>
      </c>
      <c r="C151" t="s">
        <v>1286</v>
      </c>
      <c r="D151" t="s">
        <v>1458</v>
      </c>
      <c r="E151" t="str">
        <f>"32207"</f>
        <v>32207</v>
      </c>
      <c r="F151" t="s">
        <v>1639</v>
      </c>
      <c r="G151" t="str">
        <f>"32207"</f>
        <v>32207</v>
      </c>
    </row>
    <row r="152" spans="1:7" x14ac:dyDescent="0.25">
      <c r="A152" t="s">
        <v>88</v>
      </c>
      <c r="B152" t="s">
        <v>783</v>
      </c>
      <c r="C152" t="s">
        <v>1335</v>
      </c>
      <c r="D152" t="s">
        <v>1463</v>
      </c>
      <c r="E152" t="str">
        <f>"94610"</f>
        <v>94610</v>
      </c>
      <c r="F152" t="s">
        <v>1640</v>
      </c>
      <c r="G152" t="str">
        <f>"32209"</f>
        <v>32209</v>
      </c>
    </row>
    <row r="153" spans="1:7" x14ac:dyDescent="0.25">
      <c r="A153" t="s">
        <v>75</v>
      </c>
      <c r="B153" t="s">
        <v>784</v>
      </c>
      <c r="C153" t="s">
        <v>1296</v>
      </c>
      <c r="D153" t="s">
        <v>1458</v>
      </c>
      <c r="E153" t="str">
        <f>"33196"</f>
        <v>33196</v>
      </c>
      <c r="F153" t="s">
        <v>1641</v>
      </c>
      <c r="G153" t="str">
        <f>"32208"</f>
        <v>32208</v>
      </c>
    </row>
    <row r="154" spans="1:7" x14ac:dyDescent="0.25">
      <c r="A154" t="s">
        <v>148</v>
      </c>
      <c r="B154" t="s">
        <v>785</v>
      </c>
      <c r="C154" t="s">
        <v>1286</v>
      </c>
      <c r="D154" t="s">
        <v>1458</v>
      </c>
      <c r="E154" t="str">
        <f>"32257"</f>
        <v>32257</v>
      </c>
      <c r="F154" t="s">
        <v>1642</v>
      </c>
      <c r="G154" t="str">
        <f>"32208"</f>
        <v>32208</v>
      </c>
    </row>
    <row r="155" spans="1:7" x14ac:dyDescent="0.25">
      <c r="A155" t="s">
        <v>149</v>
      </c>
      <c r="B155" t="s">
        <v>786</v>
      </c>
      <c r="C155" t="s">
        <v>1286</v>
      </c>
      <c r="D155" t="s">
        <v>1458</v>
      </c>
      <c r="E155" t="str">
        <f>"32244"</f>
        <v>32244</v>
      </c>
      <c r="F155" t="s">
        <v>1643</v>
      </c>
      <c r="G155" t="str">
        <f>"32205"</f>
        <v>32205</v>
      </c>
    </row>
    <row r="156" spans="1:7" x14ac:dyDescent="0.25">
      <c r="A156" t="s">
        <v>150</v>
      </c>
      <c r="B156" t="s">
        <v>787</v>
      </c>
      <c r="C156" t="s">
        <v>1286</v>
      </c>
      <c r="D156" t="s">
        <v>1458</v>
      </c>
      <c r="E156" t="str">
        <f>"32219"</f>
        <v>32219</v>
      </c>
      <c r="F156" t="s">
        <v>1644</v>
      </c>
      <c r="G156" t="str">
        <f>"32219"</f>
        <v>32219</v>
      </c>
    </row>
    <row r="157" spans="1:7" x14ac:dyDescent="0.25">
      <c r="A157" t="s">
        <v>151</v>
      </c>
      <c r="B157" t="s">
        <v>788</v>
      </c>
      <c r="C157" t="s">
        <v>1286</v>
      </c>
      <c r="D157" t="s">
        <v>1458</v>
      </c>
      <c r="E157" t="str">
        <f>"32218"</f>
        <v>32218</v>
      </c>
      <c r="F157" t="s">
        <v>1645</v>
      </c>
      <c r="G157" t="str">
        <f>"32209"</f>
        <v>32209</v>
      </c>
    </row>
    <row r="158" spans="1:7" x14ac:dyDescent="0.25">
      <c r="A158" t="s">
        <v>152</v>
      </c>
      <c r="B158" t="s">
        <v>789</v>
      </c>
      <c r="C158" t="s">
        <v>1288</v>
      </c>
      <c r="D158" t="s">
        <v>1458</v>
      </c>
      <c r="E158" t="str">
        <f>"32259"</f>
        <v>32259</v>
      </c>
      <c r="F158" t="s">
        <v>1646</v>
      </c>
      <c r="G158" t="str">
        <f>"32205"</f>
        <v>32205</v>
      </c>
    </row>
    <row r="159" spans="1:7" x14ac:dyDescent="0.25">
      <c r="A159" t="s">
        <v>153</v>
      </c>
      <c r="B159" t="s">
        <v>790</v>
      </c>
      <c r="C159" t="s">
        <v>1286</v>
      </c>
      <c r="D159" t="s">
        <v>1458</v>
      </c>
      <c r="E159" t="str">
        <f>"32226"</f>
        <v>32226</v>
      </c>
      <c r="F159" t="s">
        <v>1647</v>
      </c>
      <c r="G159" t="str">
        <f>"32226"</f>
        <v>32226</v>
      </c>
    </row>
    <row r="160" spans="1:7" x14ac:dyDescent="0.25">
      <c r="A160" t="s">
        <v>154</v>
      </c>
      <c r="B160" t="s">
        <v>791</v>
      </c>
      <c r="C160" t="s">
        <v>1286</v>
      </c>
      <c r="D160" t="s">
        <v>1458</v>
      </c>
      <c r="E160" t="str">
        <f>"32225"</f>
        <v>32225</v>
      </c>
      <c r="F160" t="s">
        <v>1648</v>
      </c>
      <c r="G160" t="str">
        <f>"32207"</f>
        <v>32207</v>
      </c>
    </row>
    <row r="161" spans="1:7" x14ac:dyDescent="0.25">
      <c r="A161" t="s">
        <v>155</v>
      </c>
      <c r="B161" t="s">
        <v>792</v>
      </c>
      <c r="C161" t="s">
        <v>1286</v>
      </c>
      <c r="D161" t="s">
        <v>1458</v>
      </c>
      <c r="E161" t="str">
        <f>"32246"</f>
        <v>32246</v>
      </c>
      <c r="F161" t="s">
        <v>1649</v>
      </c>
      <c r="G161" t="str">
        <f>"32225"</f>
        <v>32225</v>
      </c>
    </row>
    <row r="162" spans="1:7" x14ac:dyDescent="0.25">
      <c r="A162" t="s">
        <v>156</v>
      </c>
      <c r="B162" t="s">
        <v>793</v>
      </c>
      <c r="C162" t="s">
        <v>1336</v>
      </c>
      <c r="D162" t="s">
        <v>1466</v>
      </c>
      <c r="E162" t="str">
        <f>"60173"</f>
        <v>60173</v>
      </c>
      <c r="F162" t="s">
        <v>1650</v>
      </c>
      <c r="G162" t="str">
        <f>"32208"</f>
        <v>32208</v>
      </c>
    </row>
    <row r="163" spans="1:7" x14ac:dyDescent="0.25">
      <c r="A163" t="s">
        <v>157</v>
      </c>
      <c r="B163" t="s">
        <v>794</v>
      </c>
      <c r="C163" t="s">
        <v>1286</v>
      </c>
      <c r="D163" t="s">
        <v>1458</v>
      </c>
      <c r="E163" t="str">
        <f>"32205"</f>
        <v>32205</v>
      </c>
      <c r="F163" t="s">
        <v>1651</v>
      </c>
      <c r="G163" t="str">
        <f>"32223"</f>
        <v>32223</v>
      </c>
    </row>
    <row r="164" spans="1:7" x14ac:dyDescent="0.25">
      <c r="A164" t="s">
        <v>158</v>
      </c>
      <c r="B164" t="s">
        <v>795</v>
      </c>
      <c r="C164" t="s">
        <v>1286</v>
      </c>
      <c r="D164" t="s">
        <v>1458</v>
      </c>
      <c r="E164" t="str">
        <f>"32202"</f>
        <v>32202</v>
      </c>
      <c r="F164" t="s">
        <v>1652</v>
      </c>
      <c r="G164" t="str">
        <f>"32208"</f>
        <v>32208</v>
      </c>
    </row>
    <row r="165" spans="1:7" x14ac:dyDescent="0.25">
      <c r="A165" t="s">
        <v>159</v>
      </c>
      <c r="B165" t="s">
        <v>796</v>
      </c>
      <c r="C165" t="s">
        <v>1337</v>
      </c>
      <c r="D165" t="s">
        <v>1463</v>
      </c>
      <c r="E165" t="str">
        <f>"91303"</f>
        <v>91303</v>
      </c>
      <c r="F165" t="s">
        <v>1653</v>
      </c>
      <c r="G165" t="str">
        <f>"32220"</f>
        <v>32220</v>
      </c>
    </row>
    <row r="166" spans="1:7" x14ac:dyDescent="0.25">
      <c r="A166" t="s">
        <v>160</v>
      </c>
      <c r="B166" t="s">
        <v>797</v>
      </c>
      <c r="C166" t="s">
        <v>1286</v>
      </c>
      <c r="D166" t="s">
        <v>1458</v>
      </c>
      <c r="E166" t="str">
        <f>"32277"</f>
        <v>32277</v>
      </c>
      <c r="F166" t="s">
        <v>1654</v>
      </c>
      <c r="G166" t="str">
        <f>"32204"</f>
        <v>32204</v>
      </c>
    </row>
    <row r="167" spans="1:7" x14ac:dyDescent="0.25">
      <c r="A167" t="s">
        <v>161</v>
      </c>
      <c r="B167" t="s">
        <v>798</v>
      </c>
      <c r="C167" t="s">
        <v>1338</v>
      </c>
      <c r="D167" t="s">
        <v>1458</v>
      </c>
      <c r="E167" t="str">
        <f>"33141"</f>
        <v>33141</v>
      </c>
      <c r="F167" t="s">
        <v>1655</v>
      </c>
      <c r="G167" t="str">
        <f>"32208"</f>
        <v>32208</v>
      </c>
    </row>
    <row r="168" spans="1:7" x14ac:dyDescent="0.25">
      <c r="A168" t="s">
        <v>162</v>
      </c>
      <c r="B168" t="s">
        <v>799</v>
      </c>
      <c r="C168" t="s">
        <v>1339</v>
      </c>
      <c r="D168" t="s">
        <v>1458</v>
      </c>
      <c r="E168" t="str">
        <f>"33165"</f>
        <v>33165</v>
      </c>
      <c r="F168" t="s">
        <v>1656</v>
      </c>
      <c r="G168" t="str">
        <f>"32254"</f>
        <v>32254</v>
      </c>
    </row>
    <row r="169" spans="1:7" x14ac:dyDescent="0.25">
      <c r="A169" t="s">
        <v>163</v>
      </c>
      <c r="B169" t="s">
        <v>800</v>
      </c>
      <c r="C169" t="s">
        <v>1286</v>
      </c>
      <c r="D169" t="s">
        <v>1458</v>
      </c>
      <c r="E169" t="str">
        <f>"32260"</f>
        <v>32260</v>
      </c>
      <c r="F169" t="s">
        <v>1657</v>
      </c>
      <c r="G169" t="str">
        <f>"32210"</f>
        <v>32210</v>
      </c>
    </row>
    <row r="170" spans="1:7" x14ac:dyDescent="0.25">
      <c r="A170" t="s">
        <v>164</v>
      </c>
      <c r="B170" t="s">
        <v>801</v>
      </c>
      <c r="C170" t="s">
        <v>1286</v>
      </c>
      <c r="D170" t="s">
        <v>1458</v>
      </c>
      <c r="E170" t="str">
        <f>"32225"</f>
        <v>32225</v>
      </c>
      <c r="F170" t="s">
        <v>1658</v>
      </c>
      <c r="G170" t="str">
        <f>"32225"</f>
        <v>32225</v>
      </c>
    </row>
    <row r="171" spans="1:7" x14ac:dyDescent="0.25">
      <c r="A171" t="s">
        <v>165</v>
      </c>
      <c r="B171" t="s">
        <v>802</v>
      </c>
      <c r="C171" t="s">
        <v>1288</v>
      </c>
      <c r="D171" t="s">
        <v>1458</v>
      </c>
      <c r="E171" t="str">
        <f>"32259"</f>
        <v>32259</v>
      </c>
      <c r="F171" t="s">
        <v>1659</v>
      </c>
      <c r="G171" t="str">
        <f>"32254"</f>
        <v>32254</v>
      </c>
    </row>
    <row r="172" spans="1:7" x14ac:dyDescent="0.25">
      <c r="A172" t="s">
        <v>166</v>
      </c>
      <c r="B172" t="s">
        <v>803</v>
      </c>
      <c r="C172" t="s">
        <v>1286</v>
      </c>
      <c r="D172" t="s">
        <v>1458</v>
      </c>
      <c r="E172" t="str">
        <f>"32224"</f>
        <v>32224</v>
      </c>
      <c r="F172" t="s">
        <v>1660</v>
      </c>
      <c r="G172" t="str">
        <f>"32225"</f>
        <v>32225</v>
      </c>
    </row>
    <row r="173" spans="1:7" x14ac:dyDescent="0.25">
      <c r="A173" t="s">
        <v>167</v>
      </c>
      <c r="B173" t="s">
        <v>804</v>
      </c>
      <c r="C173" t="s">
        <v>1286</v>
      </c>
      <c r="D173" t="s">
        <v>1458</v>
      </c>
      <c r="E173" t="str">
        <f>"32209"</f>
        <v>32209</v>
      </c>
      <c r="F173" t="s">
        <v>1661</v>
      </c>
      <c r="G173" t="str">
        <f>"32209"</f>
        <v>32209</v>
      </c>
    </row>
    <row r="174" spans="1:7" x14ac:dyDescent="0.25">
      <c r="A174" t="s">
        <v>168</v>
      </c>
      <c r="B174" t="s">
        <v>805</v>
      </c>
      <c r="C174" t="s">
        <v>1307</v>
      </c>
      <c r="D174" t="s">
        <v>1467</v>
      </c>
      <c r="E174" t="str">
        <f>"78746"</f>
        <v>78746</v>
      </c>
      <c r="F174" t="s">
        <v>1662</v>
      </c>
      <c r="G174" t="str">
        <f>"32208"</f>
        <v>32208</v>
      </c>
    </row>
    <row r="175" spans="1:7" x14ac:dyDescent="0.25">
      <c r="A175" t="s">
        <v>169</v>
      </c>
      <c r="B175" t="s">
        <v>806</v>
      </c>
      <c r="C175" t="s">
        <v>1341</v>
      </c>
      <c r="D175" t="s">
        <v>1461</v>
      </c>
      <c r="E175" t="str">
        <f>"29412"</f>
        <v>29412</v>
      </c>
      <c r="F175" t="s">
        <v>1663</v>
      </c>
      <c r="G175" t="str">
        <f>"32218"</f>
        <v>32218</v>
      </c>
    </row>
    <row r="176" spans="1:7" x14ac:dyDescent="0.25">
      <c r="A176" t="s">
        <v>170</v>
      </c>
      <c r="B176" t="s">
        <v>807</v>
      </c>
      <c r="C176" t="s">
        <v>1342</v>
      </c>
      <c r="D176" t="s">
        <v>1463</v>
      </c>
      <c r="E176" t="str">
        <f>"95014"</f>
        <v>95014</v>
      </c>
      <c r="F176" t="s">
        <v>1664</v>
      </c>
      <c r="G176" t="str">
        <f>"32221"</f>
        <v>32221</v>
      </c>
    </row>
    <row r="177" spans="1:7" x14ac:dyDescent="0.25">
      <c r="A177" t="s">
        <v>171</v>
      </c>
      <c r="B177" t="s">
        <v>808</v>
      </c>
      <c r="C177" t="s">
        <v>1343</v>
      </c>
      <c r="D177" t="s">
        <v>1458</v>
      </c>
      <c r="E177" t="str">
        <f>"32137"</f>
        <v>32137</v>
      </c>
      <c r="F177" t="s">
        <v>1665</v>
      </c>
      <c r="G177" t="str">
        <f>"32225"</f>
        <v>32225</v>
      </c>
    </row>
    <row r="178" spans="1:7" x14ac:dyDescent="0.25">
      <c r="A178" t="s">
        <v>172</v>
      </c>
      <c r="B178" t="s">
        <v>809</v>
      </c>
      <c r="C178" t="s">
        <v>1316</v>
      </c>
      <c r="D178" t="s">
        <v>1458</v>
      </c>
      <c r="E178" t="str">
        <f>"32259"</f>
        <v>32259</v>
      </c>
      <c r="F178" t="s">
        <v>1666</v>
      </c>
      <c r="G178" t="str">
        <f>"32223"</f>
        <v>32223</v>
      </c>
    </row>
    <row r="179" spans="1:7" x14ac:dyDescent="0.25">
      <c r="A179" t="s">
        <v>173</v>
      </c>
      <c r="B179" t="s">
        <v>810</v>
      </c>
      <c r="C179" t="s">
        <v>1286</v>
      </c>
      <c r="D179" t="s">
        <v>1458</v>
      </c>
      <c r="E179" t="str">
        <f>"32246"</f>
        <v>32246</v>
      </c>
      <c r="F179" t="s">
        <v>1667</v>
      </c>
      <c r="G179" t="str">
        <f>"32254"</f>
        <v>32254</v>
      </c>
    </row>
    <row r="180" spans="1:7" x14ac:dyDescent="0.25">
      <c r="A180" t="s">
        <v>174</v>
      </c>
      <c r="B180" t="s">
        <v>811</v>
      </c>
      <c r="C180" t="s">
        <v>1286</v>
      </c>
      <c r="D180" t="s">
        <v>1458</v>
      </c>
      <c r="E180" t="str">
        <f>"32207"</f>
        <v>32207</v>
      </c>
      <c r="F180" t="s">
        <v>1668</v>
      </c>
      <c r="G180" t="str">
        <f>"32246"</f>
        <v>32246</v>
      </c>
    </row>
    <row r="181" spans="1:7" x14ac:dyDescent="0.25">
      <c r="A181" t="s">
        <v>175</v>
      </c>
      <c r="B181" t="s">
        <v>812</v>
      </c>
      <c r="C181" t="s">
        <v>1344</v>
      </c>
      <c r="D181" t="s">
        <v>1458</v>
      </c>
      <c r="E181" t="str">
        <f>"33972"</f>
        <v>33972</v>
      </c>
      <c r="F181" t="s">
        <v>1669</v>
      </c>
      <c r="G181" t="str">
        <f>"32225"</f>
        <v>32225</v>
      </c>
    </row>
    <row r="182" spans="1:7" x14ac:dyDescent="0.25">
      <c r="A182" t="s">
        <v>176</v>
      </c>
      <c r="B182" t="s">
        <v>739</v>
      </c>
      <c r="C182" t="s">
        <v>1345</v>
      </c>
      <c r="D182" t="s">
        <v>1475</v>
      </c>
      <c r="E182" t="str">
        <f>"82516"</f>
        <v>82516</v>
      </c>
      <c r="F182" t="s">
        <v>1670</v>
      </c>
      <c r="G182" t="str">
        <f>"32277"</f>
        <v>32277</v>
      </c>
    </row>
    <row r="183" spans="1:7" x14ac:dyDescent="0.25">
      <c r="A183" t="s">
        <v>177</v>
      </c>
      <c r="B183" t="s">
        <v>813</v>
      </c>
      <c r="C183" t="s">
        <v>1286</v>
      </c>
      <c r="D183" t="s">
        <v>1458</v>
      </c>
      <c r="E183" t="str">
        <f>"32246"</f>
        <v>32246</v>
      </c>
      <c r="F183" t="s">
        <v>1671</v>
      </c>
      <c r="G183" t="str">
        <f>"32246"</f>
        <v>32246</v>
      </c>
    </row>
    <row r="184" spans="1:7" x14ac:dyDescent="0.25">
      <c r="A184" t="s">
        <v>178</v>
      </c>
      <c r="B184" t="s">
        <v>814</v>
      </c>
      <c r="C184" t="s">
        <v>1287</v>
      </c>
      <c r="D184" t="s">
        <v>1458</v>
      </c>
      <c r="E184" t="str">
        <f>"32082"</f>
        <v>32082</v>
      </c>
      <c r="F184" t="s">
        <v>1672</v>
      </c>
      <c r="G184" t="str">
        <f>"32257"</f>
        <v>32257</v>
      </c>
    </row>
    <row r="185" spans="1:7" x14ac:dyDescent="0.25">
      <c r="A185" t="s">
        <v>179</v>
      </c>
      <c r="B185" t="s">
        <v>815</v>
      </c>
      <c r="C185" t="s">
        <v>1346</v>
      </c>
      <c r="D185" t="s">
        <v>1462</v>
      </c>
      <c r="E185" t="str">
        <f>"11212"</f>
        <v>11212</v>
      </c>
      <c r="F185" t="s">
        <v>1673</v>
      </c>
      <c r="G185" t="str">
        <f>"32210"</f>
        <v>32210</v>
      </c>
    </row>
    <row r="186" spans="1:7" x14ac:dyDescent="0.25">
      <c r="A186" t="s">
        <v>180</v>
      </c>
      <c r="B186" t="s">
        <v>816</v>
      </c>
      <c r="C186" t="s">
        <v>1286</v>
      </c>
      <c r="D186" t="s">
        <v>1458</v>
      </c>
      <c r="E186" t="str">
        <f>"32217"</f>
        <v>32217</v>
      </c>
      <c r="F186" t="s">
        <v>1674</v>
      </c>
      <c r="G186" t="str">
        <f>"32211"</f>
        <v>32211</v>
      </c>
    </row>
    <row r="187" spans="1:7" x14ac:dyDescent="0.25">
      <c r="A187" t="s">
        <v>181</v>
      </c>
      <c r="B187" t="s">
        <v>817</v>
      </c>
      <c r="C187" t="s">
        <v>1347</v>
      </c>
      <c r="D187" t="s">
        <v>1470</v>
      </c>
      <c r="E187" t="str">
        <f>"30092"</f>
        <v>30092</v>
      </c>
      <c r="F187" t="s">
        <v>1675</v>
      </c>
      <c r="G187" t="str">
        <f>"32208"</f>
        <v>32208</v>
      </c>
    </row>
    <row r="188" spans="1:7" x14ac:dyDescent="0.25">
      <c r="A188" t="s">
        <v>182</v>
      </c>
      <c r="B188" t="s">
        <v>818</v>
      </c>
      <c r="C188" t="s">
        <v>1286</v>
      </c>
      <c r="D188" t="s">
        <v>1458</v>
      </c>
      <c r="E188" t="str">
        <f>"32217"</f>
        <v>32217</v>
      </c>
      <c r="F188" t="s">
        <v>1676</v>
      </c>
      <c r="G188" t="str">
        <f>"32217"</f>
        <v>32217</v>
      </c>
    </row>
    <row r="189" spans="1:7" x14ac:dyDescent="0.25">
      <c r="A189" t="s">
        <v>183</v>
      </c>
      <c r="B189" t="s">
        <v>819</v>
      </c>
      <c r="C189" t="s">
        <v>1286</v>
      </c>
      <c r="D189" t="s">
        <v>1458</v>
      </c>
      <c r="E189" t="str">
        <f>"32205"</f>
        <v>32205</v>
      </c>
      <c r="F189" t="s">
        <v>1677</v>
      </c>
      <c r="G189" t="str">
        <f>"32205"</f>
        <v>32205</v>
      </c>
    </row>
    <row r="190" spans="1:7" x14ac:dyDescent="0.25">
      <c r="A190" t="s">
        <v>184</v>
      </c>
      <c r="B190" t="s">
        <v>820</v>
      </c>
      <c r="C190" t="s">
        <v>1348</v>
      </c>
      <c r="D190" t="s">
        <v>1467</v>
      </c>
      <c r="E190" t="str">
        <f>"77498"</f>
        <v>77498</v>
      </c>
      <c r="F190" t="s">
        <v>1678</v>
      </c>
      <c r="G190" t="str">
        <f>"32209"</f>
        <v>32209</v>
      </c>
    </row>
    <row r="191" spans="1:7" x14ac:dyDescent="0.25">
      <c r="A191" t="s">
        <v>185</v>
      </c>
      <c r="B191" t="s">
        <v>821</v>
      </c>
      <c r="C191" t="s">
        <v>1286</v>
      </c>
      <c r="D191" t="s">
        <v>1458</v>
      </c>
      <c r="E191" t="str">
        <f>"32210"</f>
        <v>32210</v>
      </c>
      <c r="F191" t="s">
        <v>1679</v>
      </c>
      <c r="G191" t="str">
        <f>"32244"</f>
        <v>32244</v>
      </c>
    </row>
    <row r="192" spans="1:7" x14ac:dyDescent="0.25">
      <c r="A192" t="s">
        <v>186</v>
      </c>
      <c r="B192" t="s">
        <v>822</v>
      </c>
      <c r="C192" t="s">
        <v>1349</v>
      </c>
      <c r="D192" t="s">
        <v>1460</v>
      </c>
      <c r="E192" t="str">
        <f>"28409"</f>
        <v>28409</v>
      </c>
      <c r="F192" t="s">
        <v>1680</v>
      </c>
      <c r="G192" t="str">
        <f>"32210"</f>
        <v>32210</v>
      </c>
    </row>
    <row r="193" spans="1:7" x14ac:dyDescent="0.25">
      <c r="A193" t="s">
        <v>187</v>
      </c>
      <c r="B193" t="s">
        <v>823</v>
      </c>
      <c r="C193" t="s">
        <v>1350</v>
      </c>
      <c r="D193" t="s">
        <v>1463</v>
      </c>
      <c r="E193" t="str">
        <f>"91423"</f>
        <v>91423</v>
      </c>
      <c r="F193" t="s">
        <v>1681</v>
      </c>
      <c r="G193" t="str">
        <f>"32223"</f>
        <v>32223</v>
      </c>
    </row>
    <row r="194" spans="1:7" x14ac:dyDescent="0.25">
      <c r="A194" t="s">
        <v>188</v>
      </c>
      <c r="B194" t="s">
        <v>824</v>
      </c>
      <c r="C194" t="s">
        <v>1286</v>
      </c>
      <c r="D194" t="s">
        <v>1458</v>
      </c>
      <c r="E194" t="str">
        <f>"32225"</f>
        <v>32225</v>
      </c>
      <c r="F194" t="s">
        <v>1682</v>
      </c>
      <c r="G194" t="str">
        <f>"32205"</f>
        <v>32205</v>
      </c>
    </row>
    <row r="195" spans="1:7" x14ac:dyDescent="0.25">
      <c r="A195" t="s">
        <v>189</v>
      </c>
      <c r="B195" t="s">
        <v>825</v>
      </c>
      <c r="C195" t="s">
        <v>1286</v>
      </c>
      <c r="D195" t="s">
        <v>1458</v>
      </c>
      <c r="E195" t="str">
        <f>"32205"</f>
        <v>32205</v>
      </c>
      <c r="F195" t="s">
        <v>1683</v>
      </c>
      <c r="G195" t="str">
        <f>"32205"</f>
        <v>32205</v>
      </c>
    </row>
    <row r="196" spans="1:7" x14ac:dyDescent="0.25">
      <c r="A196" t="s">
        <v>190</v>
      </c>
      <c r="B196" t="s">
        <v>826</v>
      </c>
      <c r="C196" t="s">
        <v>1286</v>
      </c>
      <c r="D196" t="s">
        <v>1458</v>
      </c>
      <c r="E196" t="str">
        <f>"32204"</f>
        <v>32204</v>
      </c>
      <c r="F196" t="s">
        <v>1684</v>
      </c>
      <c r="G196" t="str">
        <f>"32211"</f>
        <v>32211</v>
      </c>
    </row>
    <row r="197" spans="1:7" x14ac:dyDescent="0.25">
      <c r="A197" t="s">
        <v>191</v>
      </c>
      <c r="B197" t="s">
        <v>827</v>
      </c>
      <c r="C197" t="s">
        <v>1286</v>
      </c>
      <c r="D197" t="s">
        <v>1458</v>
      </c>
      <c r="E197" t="str">
        <f>"32277"</f>
        <v>32277</v>
      </c>
      <c r="F197" t="s">
        <v>1685</v>
      </c>
      <c r="G197" t="str">
        <f>"32206"</f>
        <v>32206</v>
      </c>
    </row>
    <row r="198" spans="1:7" x14ac:dyDescent="0.25">
      <c r="A198" t="s">
        <v>192</v>
      </c>
      <c r="B198" t="s">
        <v>828</v>
      </c>
      <c r="C198" t="s">
        <v>1286</v>
      </c>
      <c r="D198" t="s">
        <v>1458</v>
      </c>
      <c r="E198" t="str">
        <f>"32223"</f>
        <v>32223</v>
      </c>
      <c r="F198" t="s">
        <v>1686</v>
      </c>
      <c r="G198" t="str">
        <f>"32254"</f>
        <v>32254</v>
      </c>
    </row>
    <row r="199" spans="1:7" x14ac:dyDescent="0.25">
      <c r="A199" t="s">
        <v>193</v>
      </c>
      <c r="B199" t="s">
        <v>829</v>
      </c>
      <c r="C199" t="s">
        <v>1351</v>
      </c>
      <c r="D199" t="s">
        <v>1458</v>
      </c>
      <c r="E199" t="str">
        <f>"34287"</f>
        <v>34287</v>
      </c>
      <c r="F199" t="s">
        <v>1687</v>
      </c>
      <c r="G199" t="str">
        <f>"32254"</f>
        <v>32254</v>
      </c>
    </row>
    <row r="200" spans="1:7" x14ac:dyDescent="0.25">
      <c r="A200" t="s">
        <v>194</v>
      </c>
      <c r="B200" t="s">
        <v>830</v>
      </c>
      <c r="C200" t="s">
        <v>1352</v>
      </c>
      <c r="D200" t="s">
        <v>1476</v>
      </c>
      <c r="E200" t="str">
        <f>"89138"</f>
        <v>89138</v>
      </c>
      <c r="F200" t="s">
        <v>1688</v>
      </c>
      <c r="G200" t="str">
        <f>"32254"</f>
        <v>32254</v>
      </c>
    </row>
    <row r="201" spans="1:7" x14ac:dyDescent="0.25">
      <c r="A201" t="s">
        <v>195</v>
      </c>
      <c r="B201" t="s">
        <v>831</v>
      </c>
      <c r="C201" t="s">
        <v>1286</v>
      </c>
      <c r="D201" t="s">
        <v>1458</v>
      </c>
      <c r="E201" t="str">
        <f>"32207"</f>
        <v>32207</v>
      </c>
      <c r="F201" t="s">
        <v>1689</v>
      </c>
      <c r="G201" t="str">
        <f>"32210"</f>
        <v>32210</v>
      </c>
    </row>
    <row r="202" spans="1:7" x14ac:dyDescent="0.25">
      <c r="A202" t="s">
        <v>196</v>
      </c>
      <c r="B202" t="s">
        <v>832</v>
      </c>
      <c r="C202" t="s">
        <v>1286</v>
      </c>
      <c r="D202" t="s">
        <v>1458</v>
      </c>
      <c r="E202" t="str">
        <f>"32218"</f>
        <v>32218</v>
      </c>
      <c r="F202" t="s">
        <v>1690</v>
      </c>
      <c r="G202" t="str">
        <f>"32206"</f>
        <v>32206</v>
      </c>
    </row>
    <row r="203" spans="1:7" x14ac:dyDescent="0.25">
      <c r="A203" t="s">
        <v>197</v>
      </c>
      <c r="B203" t="s">
        <v>833</v>
      </c>
      <c r="C203" t="s">
        <v>1286</v>
      </c>
      <c r="D203" t="s">
        <v>1458</v>
      </c>
      <c r="E203" t="str">
        <f>"32211"</f>
        <v>32211</v>
      </c>
      <c r="F203" t="s">
        <v>1691</v>
      </c>
      <c r="G203" t="str">
        <f>"32211"</f>
        <v>32211</v>
      </c>
    </row>
    <row r="204" spans="1:7" x14ac:dyDescent="0.25">
      <c r="A204" t="s">
        <v>198</v>
      </c>
      <c r="B204" t="s">
        <v>834</v>
      </c>
      <c r="C204" t="s">
        <v>1286</v>
      </c>
      <c r="D204" t="s">
        <v>1458</v>
      </c>
      <c r="E204" t="str">
        <f>"32277"</f>
        <v>32277</v>
      </c>
      <c r="F204" t="s">
        <v>1692</v>
      </c>
      <c r="G204" t="str">
        <f>"32207"</f>
        <v>32207</v>
      </c>
    </row>
    <row r="205" spans="1:7" x14ac:dyDescent="0.25">
      <c r="A205" t="s">
        <v>199</v>
      </c>
      <c r="B205" t="s">
        <v>835</v>
      </c>
      <c r="C205" t="s">
        <v>1287</v>
      </c>
      <c r="D205" t="s">
        <v>1458</v>
      </c>
      <c r="E205" t="str">
        <f>"32081"</f>
        <v>32081</v>
      </c>
      <c r="F205" t="s">
        <v>1693</v>
      </c>
      <c r="G205" t="str">
        <f>"32216"</f>
        <v>32216</v>
      </c>
    </row>
    <row r="206" spans="1:7" x14ac:dyDescent="0.25">
      <c r="A206" t="s">
        <v>200</v>
      </c>
      <c r="B206" t="s">
        <v>836</v>
      </c>
      <c r="C206" t="s">
        <v>1286</v>
      </c>
      <c r="D206" t="s">
        <v>1458</v>
      </c>
      <c r="E206" t="str">
        <f>"32216"</f>
        <v>32216</v>
      </c>
      <c r="F206" t="s">
        <v>1694</v>
      </c>
      <c r="G206" t="str">
        <f>"32207"</f>
        <v>32207</v>
      </c>
    </row>
    <row r="207" spans="1:7" x14ac:dyDescent="0.25">
      <c r="A207" t="s">
        <v>201</v>
      </c>
      <c r="B207" t="s">
        <v>837</v>
      </c>
      <c r="C207" t="s">
        <v>1286</v>
      </c>
      <c r="D207" t="s">
        <v>1458</v>
      </c>
      <c r="E207" t="str">
        <f>"32246"</f>
        <v>32246</v>
      </c>
      <c r="F207" t="s">
        <v>1695</v>
      </c>
      <c r="G207" t="str">
        <f>"32208"</f>
        <v>32208</v>
      </c>
    </row>
    <row r="208" spans="1:7" x14ac:dyDescent="0.25">
      <c r="A208" t="s">
        <v>202</v>
      </c>
      <c r="B208" t="s">
        <v>838</v>
      </c>
      <c r="C208" t="s">
        <v>1286</v>
      </c>
      <c r="D208" t="s">
        <v>1458</v>
      </c>
      <c r="E208" t="str">
        <f>"32211"</f>
        <v>32211</v>
      </c>
      <c r="F208" t="s">
        <v>1696</v>
      </c>
      <c r="G208" t="str">
        <f>"32211"</f>
        <v>32211</v>
      </c>
    </row>
    <row r="209" spans="1:7" x14ac:dyDescent="0.25">
      <c r="A209" t="s">
        <v>203</v>
      </c>
      <c r="B209" t="s">
        <v>839</v>
      </c>
      <c r="C209" t="s">
        <v>1286</v>
      </c>
      <c r="D209" t="s">
        <v>1458</v>
      </c>
      <c r="E209" t="str">
        <f>"32277"</f>
        <v>32277</v>
      </c>
      <c r="F209" t="s">
        <v>1697</v>
      </c>
      <c r="G209" t="str">
        <f>"32211"</f>
        <v>32211</v>
      </c>
    </row>
    <row r="210" spans="1:7" x14ac:dyDescent="0.25">
      <c r="A210" t="s">
        <v>204</v>
      </c>
      <c r="B210" t="s">
        <v>840</v>
      </c>
      <c r="C210" t="s">
        <v>1290</v>
      </c>
      <c r="D210" t="s">
        <v>1458</v>
      </c>
      <c r="E210" t="str">
        <f>"32065"</f>
        <v>32065</v>
      </c>
      <c r="F210" t="s">
        <v>1698</v>
      </c>
      <c r="G210" t="str">
        <f>"32217"</f>
        <v>32217</v>
      </c>
    </row>
    <row r="211" spans="1:7" x14ac:dyDescent="0.25">
      <c r="A211" t="s">
        <v>205</v>
      </c>
      <c r="B211" t="s">
        <v>841</v>
      </c>
      <c r="C211" t="s">
        <v>1294</v>
      </c>
      <c r="D211" t="s">
        <v>1458</v>
      </c>
      <c r="E211" t="str">
        <f>"32250"</f>
        <v>32250</v>
      </c>
      <c r="F211" t="s">
        <v>1699</v>
      </c>
      <c r="G211" t="str">
        <f>"32207"</f>
        <v>32207</v>
      </c>
    </row>
    <row r="212" spans="1:7" x14ac:dyDescent="0.25">
      <c r="A212" t="s">
        <v>206</v>
      </c>
      <c r="B212" t="s">
        <v>842</v>
      </c>
      <c r="C212" t="s">
        <v>1286</v>
      </c>
      <c r="D212" t="s">
        <v>1458</v>
      </c>
      <c r="E212" t="str">
        <f>"32210"</f>
        <v>32210</v>
      </c>
      <c r="F212" t="s">
        <v>1700</v>
      </c>
      <c r="G212" t="str">
        <f>"32246"</f>
        <v>32246</v>
      </c>
    </row>
    <row r="213" spans="1:7" x14ac:dyDescent="0.25">
      <c r="A213" t="s">
        <v>207</v>
      </c>
      <c r="B213" t="s">
        <v>843</v>
      </c>
      <c r="C213" t="s">
        <v>1319</v>
      </c>
      <c r="D213" t="s">
        <v>1458</v>
      </c>
      <c r="E213" t="str">
        <f>"33008"</f>
        <v>33008</v>
      </c>
      <c r="F213" t="s">
        <v>1701</v>
      </c>
      <c r="G213" t="str">
        <f>"32209"</f>
        <v>32209</v>
      </c>
    </row>
    <row r="214" spans="1:7" x14ac:dyDescent="0.25">
      <c r="A214" t="s">
        <v>208</v>
      </c>
      <c r="B214" t="s">
        <v>844</v>
      </c>
      <c r="C214" t="s">
        <v>1286</v>
      </c>
      <c r="D214" t="s">
        <v>1458</v>
      </c>
      <c r="E214" t="str">
        <f>"32246"</f>
        <v>32246</v>
      </c>
      <c r="F214" t="s">
        <v>1702</v>
      </c>
      <c r="G214" t="str">
        <f>"32277"</f>
        <v>32277</v>
      </c>
    </row>
    <row r="215" spans="1:7" x14ac:dyDescent="0.25">
      <c r="A215" t="s">
        <v>209</v>
      </c>
      <c r="B215" t="s">
        <v>845</v>
      </c>
      <c r="C215" t="s">
        <v>1286</v>
      </c>
      <c r="D215" t="s">
        <v>1458</v>
      </c>
      <c r="E215" t="str">
        <f>"32256"</f>
        <v>32256</v>
      </c>
      <c r="F215" t="s">
        <v>1703</v>
      </c>
      <c r="G215" t="str">
        <f>"32209"</f>
        <v>32209</v>
      </c>
    </row>
    <row r="216" spans="1:7" x14ac:dyDescent="0.25">
      <c r="A216" t="s">
        <v>210</v>
      </c>
      <c r="B216" t="s">
        <v>846</v>
      </c>
      <c r="C216" t="s">
        <v>1286</v>
      </c>
      <c r="D216" t="s">
        <v>1458</v>
      </c>
      <c r="E216" t="str">
        <f>"32224"</f>
        <v>32224</v>
      </c>
      <c r="F216" t="s">
        <v>1704</v>
      </c>
      <c r="G216" t="str">
        <f>"32211"</f>
        <v>32211</v>
      </c>
    </row>
    <row r="217" spans="1:7" x14ac:dyDescent="0.25">
      <c r="A217" t="s">
        <v>211</v>
      </c>
      <c r="B217" t="s">
        <v>847</v>
      </c>
      <c r="C217" t="s">
        <v>1286</v>
      </c>
      <c r="D217" t="s">
        <v>1458</v>
      </c>
      <c r="E217" t="str">
        <f>"32225"</f>
        <v>32225</v>
      </c>
      <c r="F217" t="s">
        <v>1705</v>
      </c>
      <c r="G217" t="str">
        <f>"32277"</f>
        <v>32277</v>
      </c>
    </row>
    <row r="218" spans="1:7" x14ac:dyDescent="0.25">
      <c r="A218" t="s">
        <v>212</v>
      </c>
      <c r="B218" t="s">
        <v>848</v>
      </c>
      <c r="C218" t="s">
        <v>1286</v>
      </c>
      <c r="D218" t="s">
        <v>1458</v>
      </c>
      <c r="E218" t="str">
        <f>"32206"</f>
        <v>32206</v>
      </c>
      <c r="F218" t="s">
        <v>1706</v>
      </c>
      <c r="G218" t="str">
        <f>"32246"</f>
        <v>32246</v>
      </c>
    </row>
    <row r="219" spans="1:7" x14ac:dyDescent="0.25">
      <c r="A219" t="s">
        <v>213</v>
      </c>
      <c r="B219" t="s">
        <v>849</v>
      </c>
      <c r="C219" t="s">
        <v>1286</v>
      </c>
      <c r="D219" t="s">
        <v>1458</v>
      </c>
      <c r="E219" t="str">
        <f>"32225"</f>
        <v>32225</v>
      </c>
      <c r="F219" t="s">
        <v>1707</v>
      </c>
      <c r="G219" t="str">
        <f>"32211"</f>
        <v>32211</v>
      </c>
    </row>
    <row r="220" spans="1:7" x14ac:dyDescent="0.25">
      <c r="A220" t="s">
        <v>214</v>
      </c>
      <c r="B220" t="s">
        <v>850</v>
      </c>
      <c r="C220" t="s">
        <v>1296</v>
      </c>
      <c r="D220" t="s">
        <v>1458</v>
      </c>
      <c r="E220" t="str">
        <f>"33172"</f>
        <v>33172</v>
      </c>
      <c r="F220" t="s">
        <v>1708</v>
      </c>
      <c r="G220" t="str">
        <f>"32224"</f>
        <v>32224</v>
      </c>
    </row>
    <row r="221" spans="1:7" x14ac:dyDescent="0.25">
      <c r="A221" t="s">
        <v>215</v>
      </c>
      <c r="B221" t="s">
        <v>851</v>
      </c>
      <c r="C221" t="s">
        <v>1353</v>
      </c>
      <c r="D221" t="s">
        <v>1471</v>
      </c>
      <c r="E221" t="str">
        <f>"07068"</f>
        <v>07068</v>
      </c>
      <c r="F221" t="s">
        <v>1709</v>
      </c>
      <c r="G221" t="str">
        <f>"32219"</f>
        <v>32219</v>
      </c>
    </row>
    <row r="222" spans="1:7" x14ac:dyDescent="0.25">
      <c r="A222" t="s">
        <v>216</v>
      </c>
      <c r="B222" t="s">
        <v>852</v>
      </c>
      <c r="C222" t="s">
        <v>1286</v>
      </c>
      <c r="D222" t="s">
        <v>1458</v>
      </c>
      <c r="E222" t="str">
        <f>"32258"</f>
        <v>32258</v>
      </c>
      <c r="F222" t="s">
        <v>1710</v>
      </c>
      <c r="G222" t="str">
        <f>"32257"</f>
        <v>32257</v>
      </c>
    </row>
    <row r="223" spans="1:7" x14ac:dyDescent="0.25">
      <c r="A223" t="s">
        <v>217</v>
      </c>
      <c r="B223" t="s">
        <v>853</v>
      </c>
      <c r="C223" t="s">
        <v>1354</v>
      </c>
      <c r="D223" t="s">
        <v>1463</v>
      </c>
      <c r="E223" t="str">
        <f>"94582"</f>
        <v>94582</v>
      </c>
      <c r="F223" t="s">
        <v>1711</v>
      </c>
      <c r="G223" t="str">
        <f>"32221"</f>
        <v>32221</v>
      </c>
    </row>
    <row r="224" spans="1:7" x14ac:dyDescent="0.25">
      <c r="A224" t="s">
        <v>218</v>
      </c>
      <c r="B224" t="s">
        <v>854</v>
      </c>
      <c r="C224" t="s">
        <v>1286</v>
      </c>
      <c r="D224" t="s">
        <v>1458</v>
      </c>
      <c r="E224" t="str">
        <f>"32223"</f>
        <v>32223</v>
      </c>
      <c r="F224" t="s">
        <v>1712</v>
      </c>
      <c r="G224" t="str">
        <f>"32209"</f>
        <v>32209</v>
      </c>
    </row>
    <row r="225" spans="1:7" x14ac:dyDescent="0.25">
      <c r="A225" t="s">
        <v>219</v>
      </c>
      <c r="B225" t="s">
        <v>855</v>
      </c>
      <c r="C225" t="s">
        <v>1286</v>
      </c>
      <c r="D225" t="s">
        <v>1458</v>
      </c>
      <c r="E225" t="str">
        <f>"32225"</f>
        <v>32225</v>
      </c>
      <c r="F225" t="s">
        <v>1713</v>
      </c>
      <c r="G225" t="str">
        <f>"32226"</f>
        <v>32226</v>
      </c>
    </row>
    <row r="226" spans="1:7" x14ac:dyDescent="0.25">
      <c r="A226" t="s">
        <v>220</v>
      </c>
      <c r="B226" t="s">
        <v>856</v>
      </c>
      <c r="C226" t="s">
        <v>1286</v>
      </c>
      <c r="D226" t="s">
        <v>1458</v>
      </c>
      <c r="E226" t="str">
        <f>"32210"</f>
        <v>32210</v>
      </c>
      <c r="F226" t="s">
        <v>1714</v>
      </c>
      <c r="G226" t="str">
        <f>"32210"</f>
        <v>32210</v>
      </c>
    </row>
    <row r="227" spans="1:7" x14ac:dyDescent="0.25">
      <c r="A227" t="s">
        <v>221</v>
      </c>
      <c r="B227" t="s">
        <v>857</v>
      </c>
      <c r="C227" t="s">
        <v>1327</v>
      </c>
      <c r="D227" t="s">
        <v>1458</v>
      </c>
      <c r="E227" t="str">
        <f>"32068"</f>
        <v>32068</v>
      </c>
      <c r="F227" t="s">
        <v>1715</v>
      </c>
      <c r="G227" t="str">
        <f>"32210"</f>
        <v>32210</v>
      </c>
    </row>
    <row r="228" spans="1:7" x14ac:dyDescent="0.25">
      <c r="A228" t="s">
        <v>222</v>
      </c>
      <c r="B228" t="s">
        <v>858</v>
      </c>
      <c r="C228" t="s">
        <v>1355</v>
      </c>
      <c r="D228" t="s">
        <v>1462</v>
      </c>
      <c r="E228" t="str">
        <f>"11385"</f>
        <v>11385</v>
      </c>
      <c r="F228" t="s">
        <v>1716</v>
      </c>
      <c r="G228" t="str">
        <f>"32244"</f>
        <v>32244</v>
      </c>
    </row>
    <row r="229" spans="1:7" x14ac:dyDescent="0.25">
      <c r="A229" t="s">
        <v>223</v>
      </c>
      <c r="B229" t="s">
        <v>859</v>
      </c>
      <c r="C229" t="s">
        <v>1286</v>
      </c>
      <c r="D229" t="s">
        <v>1458</v>
      </c>
      <c r="E229" t="str">
        <f>"32277"</f>
        <v>32277</v>
      </c>
      <c r="F229" t="s">
        <v>1717</v>
      </c>
      <c r="G229" t="str">
        <f>"32217"</f>
        <v>32217</v>
      </c>
    </row>
    <row r="230" spans="1:7" x14ac:dyDescent="0.25">
      <c r="A230" t="s">
        <v>224</v>
      </c>
      <c r="B230" t="s">
        <v>860</v>
      </c>
      <c r="C230" t="s">
        <v>1356</v>
      </c>
      <c r="D230" t="s">
        <v>1458</v>
      </c>
      <c r="E230" t="str">
        <f>"33605"</f>
        <v>33605</v>
      </c>
      <c r="F230" t="s">
        <v>1718</v>
      </c>
      <c r="G230" t="str">
        <f>"32210"</f>
        <v>32210</v>
      </c>
    </row>
    <row r="231" spans="1:7" x14ac:dyDescent="0.25">
      <c r="A231" t="s">
        <v>225</v>
      </c>
      <c r="B231" t="s">
        <v>861</v>
      </c>
      <c r="C231" t="s">
        <v>1357</v>
      </c>
      <c r="D231" t="s">
        <v>1466</v>
      </c>
      <c r="E231" t="str">
        <f>"60606"</f>
        <v>60606</v>
      </c>
      <c r="F231" t="s">
        <v>1719</v>
      </c>
      <c r="G231" t="str">
        <f>"32216"</f>
        <v>32216</v>
      </c>
    </row>
    <row r="232" spans="1:7" x14ac:dyDescent="0.25">
      <c r="A232" t="s">
        <v>115</v>
      </c>
      <c r="B232" t="s">
        <v>862</v>
      </c>
      <c r="C232" t="s">
        <v>1286</v>
      </c>
      <c r="D232" t="s">
        <v>1458</v>
      </c>
      <c r="E232" t="str">
        <f>"32256"</f>
        <v>32256</v>
      </c>
      <c r="F232" t="s">
        <v>1720</v>
      </c>
      <c r="G232" t="str">
        <f>"32206"</f>
        <v>32206</v>
      </c>
    </row>
    <row r="233" spans="1:7" x14ac:dyDescent="0.25">
      <c r="A233" t="s">
        <v>226</v>
      </c>
      <c r="B233" t="s">
        <v>863</v>
      </c>
      <c r="C233" t="s">
        <v>1358</v>
      </c>
      <c r="D233" t="s">
        <v>1477</v>
      </c>
      <c r="E233" t="str">
        <f>"97201"</f>
        <v>97201</v>
      </c>
      <c r="F233" t="s">
        <v>1721</v>
      </c>
      <c r="G233" t="str">
        <f>"32218"</f>
        <v>32218</v>
      </c>
    </row>
    <row r="234" spans="1:7" x14ac:dyDescent="0.25">
      <c r="A234" t="s">
        <v>227</v>
      </c>
      <c r="B234" t="s">
        <v>864</v>
      </c>
      <c r="C234" t="s">
        <v>1286</v>
      </c>
      <c r="D234" t="s">
        <v>1458</v>
      </c>
      <c r="E234" t="str">
        <f>"32257"</f>
        <v>32257</v>
      </c>
      <c r="F234" t="s">
        <v>1722</v>
      </c>
      <c r="G234" t="str">
        <f>"32217"</f>
        <v>32217</v>
      </c>
    </row>
    <row r="235" spans="1:7" x14ac:dyDescent="0.25">
      <c r="A235" t="s">
        <v>228</v>
      </c>
      <c r="B235" t="s">
        <v>865</v>
      </c>
      <c r="C235" t="s">
        <v>1286</v>
      </c>
      <c r="D235" t="s">
        <v>1458</v>
      </c>
      <c r="E235" t="str">
        <f>"32257"</f>
        <v>32257</v>
      </c>
      <c r="F235" t="s">
        <v>1723</v>
      </c>
      <c r="G235" t="str">
        <f>"32257"</f>
        <v>32257</v>
      </c>
    </row>
    <row r="236" spans="1:7" x14ac:dyDescent="0.25">
      <c r="A236" t="s">
        <v>229</v>
      </c>
      <c r="B236" t="s">
        <v>866</v>
      </c>
      <c r="C236" t="s">
        <v>1359</v>
      </c>
      <c r="D236" t="s">
        <v>1463</v>
      </c>
      <c r="E236" t="str">
        <f>"92683"</f>
        <v>92683</v>
      </c>
      <c r="F236" t="s">
        <v>1724</v>
      </c>
      <c r="G236" t="str">
        <f>"32254"</f>
        <v>32254</v>
      </c>
    </row>
    <row r="237" spans="1:7" x14ac:dyDescent="0.25">
      <c r="A237" t="s">
        <v>230</v>
      </c>
      <c r="B237" t="s">
        <v>867</v>
      </c>
      <c r="C237" t="s">
        <v>1307</v>
      </c>
      <c r="D237" t="s">
        <v>1467</v>
      </c>
      <c r="E237" t="str">
        <f>"78741"</f>
        <v>78741</v>
      </c>
      <c r="F237" t="s">
        <v>1725</v>
      </c>
      <c r="G237" t="str">
        <f>"32205"</f>
        <v>32205</v>
      </c>
    </row>
    <row r="238" spans="1:7" x14ac:dyDescent="0.25">
      <c r="A238" t="s">
        <v>231</v>
      </c>
      <c r="B238" t="s">
        <v>868</v>
      </c>
      <c r="C238" t="s">
        <v>1286</v>
      </c>
      <c r="D238" t="s">
        <v>1458</v>
      </c>
      <c r="E238" t="str">
        <f>"32210"</f>
        <v>32210</v>
      </c>
      <c r="F238" t="s">
        <v>1726</v>
      </c>
      <c r="G238" t="str">
        <f>"32210"</f>
        <v>32210</v>
      </c>
    </row>
    <row r="239" spans="1:7" x14ac:dyDescent="0.25">
      <c r="A239" t="s">
        <v>232</v>
      </c>
      <c r="B239" t="s">
        <v>869</v>
      </c>
      <c r="C239" t="s">
        <v>1286</v>
      </c>
      <c r="D239" t="s">
        <v>1458</v>
      </c>
      <c r="E239" t="str">
        <f>"32222"</f>
        <v>32222</v>
      </c>
      <c r="F239" t="s">
        <v>1727</v>
      </c>
      <c r="G239" t="str">
        <f>"32222"</f>
        <v>32222</v>
      </c>
    </row>
    <row r="240" spans="1:7" x14ac:dyDescent="0.25">
      <c r="A240" t="s">
        <v>233</v>
      </c>
      <c r="B240" t="s">
        <v>870</v>
      </c>
      <c r="C240" t="s">
        <v>1360</v>
      </c>
      <c r="D240" t="s">
        <v>1462</v>
      </c>
      <c r="E240" t="str">
        <f>"11375"</f>
        <v>11375</v>
      </c>
      <c r="F240" t="s">
        <v>1728</v>
      </c>
      <c r="G240" t="str">
        <f>"32244"</f>
        <v>32244</v>
      </c>
    </row>
    <row r="241" spans="1:7" x14ac:dyDescent="0.25">
      <c r="A241" t="s">
        <v>234</v>
      </c>
      <c r="B241" t="s">
        <v>871</v>
      </c>
      <c r="C241" t="s">
        <v>1286</v>
      </c>
      <c r="D241" t="s">
        <v>1458</v>
      </c>
      <c r="E241" t="str">
        <f>"32210"</f>
        <v>32210</v>
      </c>
      <c r="F241" t="s">
        <v>1729</v>
      </c>
      <c r="G241" t="str">
        <f>"32244"</f>
        <v>32244</v>
      </c>
    </row>
    <row r="242" spans="1:7" x14ac:dyDescent="0.25">
      <c r="A242" t="s">
        <v>235</v>
      </c>
      <c r="B242" t="s">
        <v>872</v>
      </c>
      <c r="C242" t="s">
        <v>1327</v>
      </c>
      <c r="D242" t="s">
        <v>1458</v>
      </c>
      <c r="E242" t="str">
        <f>"32068"</f>
        <v>32068</v>
      </c>
      <c r="F242" t="s">
        <v>1730</v>
      </c>
      <c r="G242" t="str">
        <f>"32234"</f>
        <v>32234</v>
      </c>
    </row>
    <row r="243" spans="1:7" x14ac:dyDescent="0.25">
      <c r="A243" t="s">
        <v>236</v>
      </c>
      <c r="B243" t="s">
        <v>873</v>
      </c>
      <c r="C243" t="s">
        <v>1361</v>
      </c>
      <c r="D243" t="s">
        <v>1463</v>
      </c>
      <c r="E243" t="str">
        <f>"91606"</f>
        <v>91606</v>
      </c>
      <c r="F243" t="s">
        <v>1731</v>
      </c>
      <c r="G243" t="str">
        <f>"32225"</f>
        <v>32225</v>
      </c>
    </row>
    <row r="244" spans="1:7" x14ac:dyDescent="0.25">
      <c r="A244" t="s">
        <v>237</v>
      </c>
      <c r="B244" t="s">
        <v>874</v>
      </c>
      <c r="C244" t="s">
        <v>1286</v>
      </c>
      <c r="D244" t="s">
        <v>1458</v>
      </c>
      <c r="E244" t="str">
        <f>"32258"</f>
        <v>32258</v>
      </c>
      <c r="F244" t="s">
        <v>1732</v>
      </c>
      <c r="G244" t="str">
        <f>"32257"</f>
        <v>32257</v>
      </c>
    </row>
    <row r="245" spans="1:7" x14ac:dyDescent="0.25">
      <c r="A245" t="s">
        <v>238</v>
      </c>
      <c r="B245" t="s">
        <v>875</v>
      </c>
      <c r="C245" t="s">
        <v>1286</v>
      </c>
      <c r="D245" t="s">
        <v>1458</v>
      </c>
      <c r="E245" t="str">
        <f>"32246"</f>
        <v>32246</v>
      </c>
      <c r="F245" t="s">
        <v>1733</v>
      </c>
      <c r="G245" t="str">
        <f>"32246"</f>
        <v>32246</v>
      </c>
    </row>
    <row r="246" spans="1:7" x14ac:dyDescent="0.25">
      <c r="A246" t="s">
        <v>239</v>
      </c>
      <c r="B246" t="s">
        <v>876</v>
      </c>
      <c r="C246" t="s">
        <v>1286</v>
      </c>
      <c r="D246" t="s">
        <v>1458</v>
      </c>
      <c r="E246" t="str">
        <f>"32211"</f>
        <v>32211</v>
      </c>
      <c r="F246" t="s">
        <v>1734</v>
      </c>
      <c r="G246" t="str">
        <f>"32205"</f>
        <v>32205</v>
      </c>
    </row>
    <row r="247" spans="1:7" x14ac:dyDescent="0.25">
      <c r="A247" t="s">
        <v>240</v>
      </c>
      <c r="B247" t="s">
        <v>877</v>
      </c>
      <c r="C247" t="s">
        <v>1286</v>
      </c>
      <c r="D247" t="s">
        <v>1458</v>
      </c>
      <c r="E247" t="str">
        <f>"32207"</f>
        <v>32207</v>
      </c>
      <c r="F247" t="s">
        <v>1735</v>
      </c>
      <c r="G247" t="str">
        <f>"32211"</f>
        <v>32211</v>
      </c>
    </row>
    <row r="248" spans="1:7" x14ac:dyDescent="0.25">
      <c r="A248" t="s">
        <v>241</v>
      </c>
      <c r="B248" t="s">
        <v>878</v>
      </c>
      <c r="C248" t="s">
        <v>1362</v>
      </c>
      <c r="D248" t="s">
        <v>1458</v>
      </c>
      <c r="E248" t="str">
        <f>"34232"</f>
        <v>34232</v>
      </c>
      <c r="F248" t="s">
        <v>1736</v>
      </c>
      <c r="G248" t="str">
        <f>"32216"</f>
        <v>32216</v>
      </c>
    </row>
    <row r="249" spans="1:7" x14ac:dyDescent="0.25">
      <c r="A249" t="s">
        <v>242</v>
      </c>
      <c r="B249" t="s">
        <v>879</v>
      </c>
      <c r="C249" t="s">
        <v>1286</v>
      </c>
      <c r="D249" t="s">
        <v>1458</v>
      </c>
      <c r="E249" t="str">
        <f>"32210"</f>
        <v>32210</v>
      </c>
      <c r="F249" t="s">
        <v>1737</v>
      </c>
      <c r="G249" t="str">
        <f>"32205"</f>
        <v>32205</v>
      </c>
    </row>
    <row r="250" spans="1:7" x14ac:dyDescent="0.25">
      <c r="A250" t="s">
        <v>243</v>
      </c>
      <c r="B250" t="s">
        <v>880</v>
      </c>
      <c r="C250" t="s">
        <v>1286</v>
      </c>
      <c r="D250" t="s">
        <v>1458</v>
      </c>
      <c r="E250" t="str">
        <f>"32205"</f>
        <v>32205</v>
      </c>
      <c r="F250" t="s">
        <v>880</v>
      </c>
      <c r="G250" t="str">
        <f>"32205"</f>
        <v>32205</v>
      </c>
    </row>
    <row r="251" spans="1:7" x14ac:dyDescent="0.25">
      <c r="A251" t="s">
        <v>244</v>
      </c>
      <c r="B251" t="s">
        <v>881</v>
      </c>
      <c r="C251" t="s">
        <v>1286</v>
      </c>
      <c r="D251" t="s">
        <v>1458</v>
      </c>
      <c r="E251" t="str">
        <f>"32277"</f>
        <v>32277</v>
      </c>
      <c r="F251" t="s">
        <v>1738</v>
      </c>
      <c r="G251" t="str">
        <f>"32207"</f>
        <v>32207</v>
      </c>
    </row>
    <row r="252" spans="1:7" x14ac:dyDescent="0.25">
      <c r="A252" t="s">
        <v>245</v>
      </c>
      <c r="B252" t="s">
        <v>882</v>
      </c>
      <c r="C252" t="s">
        <v>1291</v>
      </c>
      <c r="D252" t="s">
        <v>1458</v>
      </c>
      <c r="E252" t="str">
        <f>"32003"</f>
        <v>32003</v>
      </c>
      <c r="F252" t="s">
        <v>1739</v>
      </c>
      <c r="G252" t="str">
        <f>"32205"</f>
        <v>32205</v>
      </c>
    </row>
    <row r="253" spans="1:7" x14ac:dyDescent="0.25">
      <c r="A253" t="s">
        <v>246</v>
      </c>
      <c r="B253" t="s">
        <v>883</v>
      </c>
      <c r="C253" t="s">
        <v>1286</v>
      </c>
      <c r="D253" t="s">
        <v>1458</v>
      </c>
      <c r="E253" t="str">
        <f>"32211"</f>
        <v>32211</v>
      </c>
      <c r="F253" t="s">
        <v>1740</v>
      </c>
      <c r="G253" t="str">
        <f>"32205"</f>
        <v>32205</v>
      </c>
    </row>
    <row r="254" spans="1:7" x14ac:dyDescent="0.25">
      <c r="A254" t="s">
        <v>247</v>
      </c>
      <c r="B254" t="s">
        <v>884</v>
      </c>
      <c r="C254" t="s">
        <v>1363</v>
      </c>
      <c r="D254" t="s">
        <v>1458</v>
      </c>
      <c r="E254" t="str">
        <f>"32789"</f>
        <v>32789</v>
      </c>
      <c r="F254" t="s">
        <v>1741</v>
      </c>
      <c r="G254" t="str">
        <f>"32205"</f>
        <v>32205</v>
      </c>
    </row>
    <row r="255" spans="1:7" x14ac:dyDescent="0.25">
      <c r="A255" t="s">
        <v>248</v>
      </c>
      <c r="B255" t="s">
        <v>885</v>
      </c>
      <c r="C255" t="s">
        <v>1294</v>
      </c>
      <c r="D255" t="s">
        <v>1458</v>
      </c>
      <c r="E255" t="str">
        <f>"32250"</f>
        <v>32250</v>
      </c>
      <c r="F255" t="s">
        <v>1742</v>
      </c>
      <c r="G255" t="str">
        <f>"32208"</f>
        <v>32208</v>
      </c>
    </row>
    <row r="256" spans="1:7" x14ac:dyDescent="0.25">
      <c r="A256" t="s">
        <v>249</v>
      </c>
      <c r="B256" t="s">
        <v>886</v>
      </c>
      <c r="C256" t="s">
        <v>1291</v>
      </c>
      <c r="D256" t="s">
        <v>1458</v>
      </c>
      <c r="E256" t="str">
        <f>"32003"</f>
        <v>32003</v>
      </c>
      <c r="F256" t="s">
        <v>1743</v>
      </c>
      <c r="G256" t="str">
        <f>"32207"</f>
        <v>32207</v>
      </c>
    </row>
    <row r="257" spans="1:7" x14ac:dyDescent="0.25">
      <c r="A257" t="s">
        <v>250</v>
      </c>
      <c r="B257" t="s">
        <v>887</v>
      </c>
      <c r="C257" t="s">
        <v>1290</v>
      </c>
      <c r="D257" t="s">
        <v>1458</v>
      </c>
      <c r="E257" t="str">
        <f>"32073"</f>
        <v>32073</v>
      </c>
      <c r="F257" t="s">
        <v>1744</v>
      </c>
      <c r="G257" t="str">
        <f>"32219"</f>
        <v>32219</v>
      </c>
    </row>
    <row r="258" spans="1:7" x14ac:dyDescent="0.25">
      <c r="A258" t="s">
        <v>251</v>
      </c>
      <c r="B258" t="s">
        <v>888</v>
      </c>
      <c r="C258" t="s">
        <v>1359</v>
      </c>
      <c r="D258" t="s">
        <v>1478</v>
      </c>
      <c r="E258" t="str">
        <f>"80030"</f>
        <v>80030</v>
      </c>
      <c r="F258" t="s">
        <v>1745</v>
      </c>
      <c r="G258" t="str">
        <f>"32206"</f>
        <v>32206</v>
      </c>
    </row>
    <row r="259" spans="1:7" x14ac:dyDescent="0.25">
      <c r="A259" t="s">
        <v>252</v>
      </c>
      <c r="B259" t="s">
        <v>889</v>
      </c>
      <c r="C259" t="s">
        <v>1286</v>
      </c>
      <c r="D259" t="s">
        <v>1458</v>
      </c>
      <c r="E259" t="str">
        <f>"32221"</f>
        <v>32221</v>
      </c>
      <c r="F259" t="s">
        <v>1746</v>
      </c>
      <c r="G259" t="str">
        <f>"32218"</f>
        <v>32218</v>
      </c>
    </row>
    <row r="260" spans="1:7" x14ac:dyDescent="0.25">
      <c r="A260" t="s">
        <v>253</v>
      </c>
      <c r="B260" t="s">
        <v>890</v>
      </c>
      <c r="C260" t="s">
        <v>1291</v>
      </c>
      <c r="D260" t="s">
        <v>1458</v>
      </c>
      <c r="E260" t="str">
        <f>"32003"</f>
        <v>32003</v>
      </c>
      <c r="F260" t="s">
        <v>1747</v>
      </c>
      <c r="G260" t="str">
        <f>"32207"</f>
        <v>32207</v>
      </c>
    </row>
    <row r="261" spans="1:7" x14ac:dyDescent="0.25">
      <c r="A261" t="s">
        <v>254</v>
      </c>
      <c r="B261" t="s">
        <v>891</v>
      </c>
      <c r="C261" t="s">
        <v>1286</v>
      </c>
      <c r="D261" t="s">
        <v>1458</v>
      </c>
      <c r="E261" t="str">
        <f>"32207"</f>
        <v>32207</v>
      </c>
      <c r="F261" t="s">
        <v>1748</v>
      </c>
      <c r="G261" t="str">
        <f>"32216"</f>
        <v>32216</v>
      </c>
    </row>
    <row r="262" spans="1:7" x14ac:dyDescent="0.25">
      <c r="A262" t="s">
        <v>255</v>
      </c>
      <c r="B262" t="s">
        <v>892</v>
      </c>
      <c r="C262" t="s">
        <v>1286</v>
      </c>
      <c r="D262" t="s">
        <v>1458</v>
      </c>
      <c r="E262" t="str">
        <f>"32257"</f>
        <v>32257</v>
      </c>
      <c r="F262" t="s">
        <v>1749</v>
      </c>
      <c r="G262" t="str">
        <f>"32207"</f>
        <v>32207</v>
      </c>
    </row>
    <row r="263" spans="1:7" x14ac:dyDescent="0.25">
      <c r="A263" t="s">
        <v>256</v>
      </c>
      <c r="B263" t="s">
        <v>893</v>
      </c>
      <c r="C263" t="s">
        <v>1286</v>
      </c>
      <c r="D263" t="s">
        <v>1458</v>
      </c>
      <c r="E263" t="str">
        <f>"32216"</f>
        <v>32216</v>
      </c>
      <c r="F263" t="s">
        <v>1750</v>
      </c>
      <c r="G263" t="str">
        <f>"32244"</f>
        <v>32244</v>
      </c>
    </row>
    <row r="264" spans="1:7" x14ac:dyDescent="0.25">
      <c r="A264" t="s">
        <v>257</v>
      </c>
      <c r="B264" t="s">
        <v>894</v>
      </c>
      <c r="C264" t="s">
        <v>1364</v>
      </c>
      <c r="D264" t="s">
        <v>1458</v>
      </c>
      <c r="E264" t="str">
        <f>"32301"</f>
        <v>32301</v>
      </c>
      <c r="F264" t="s">
        <v>1751</v>
      </c>
      <c r="G264" t="str">
        <f>"32205"</f>
        <v>32205</v>
      </c>
    </row>
    <row r="265" spans="1:7" x14ac:dyDescent="0.25">
      <c r="A265" t="s">
        <v>258</v>
      </c>
      <c r="B265" t="s">
        <v>895</v>
      </c>
      <c r="C265" t="s">
        <v>1286</v>
      </c>
      <c r="D265" t="s">
        <v>1458</v>
      </c>
      <c r="E265" t="str">
        <f>"32218"</f>
        <v>32218</v>
      </c>
      <c r="F265" t="s">
        <v>895</v>
      </c>
      <c r="G265" t="str">
        <f>"32218"</f>
        <v>32218</v>
      </c>
    </row>
    <row r="266" spans="1:7" x14ac:dyDescent="0.25">
      <c r="A266" t="s">
        <v>259</v>
      </c>
      <c r="B266" t="s">
        <v>896</v>
      </c>
      <c r="C266" t="s">
        <v>1290</v>
      </c>
      <c r="D266" t="s">
        <v>1458</v>
      </c>
      <c r="E266" t="str">
        <f>"32073"</f>
        <v>32073</v>
      </c>
      <c r="F266" t="s">
        <v>1752</v>
      </c>
      <c r="G266" t="str">
        <f>"32222"</f>
        <v>32222</v>
      </c>
    </row>
    <row r="267" spans="1:7" x14ac:dyDescent="0.25">
      <c r="A267" t="s">
        <v>260</v>
      </c>
      <c r="B267" t="s">
        <v>897</v>
      </c>
      <c r="C267" t="s">
        <v>1286</v>
      </c>
      <c r="D267" t="s">
        <v>1458</v>
      </c>
      <c r="E267" t="str">
        <f>"32202"</f>
        <v>32202</v>
      </c>
      <c r="F267" t="s">
        <v>1753</v>
      </c>
      <c r="G267" t="str">
        <f>"32218"</f>
        <v>32218</v>
      </c>
    </row>
    <row r="268" spans="1:7" x14ac:dyDescent="0.25">
      <c r="A268" t="s">
        <v>261</v>
      </c>
      <c r="B268" t="s">
        <v>898</v>
      </c>
      <c r="C268" t="s">
        <v>1286</v>
      </c>
      <c r="D268" t="s">
        <v>1458</v>
      </c>
      <c r="E268" t="str">
        <f>"32225"</f>
        <v>32225</v>
      </c>
      <c r="F268" t="s">
        <v>1754</v>
      </c>
      <c r="G268" t="str">
        <f>"32211"</f>
        <v>32211</v>
      </c>
    </row>
    <row r="269" spans="1:7" x14ac:dyDescent="0.25">
      <c r="A269" t="s">
        <v>262</v>
      </c>
      <c r="B269" t="s">
        <v>899</v>
      </c>
      <c r="C269" t="s">
        <v>1365</v>
      </c>
      <c r="D269" t="s">
        <v>1458</v>
      </c>
      <c r="E269" t="str">
        <f>"33172"</f>
        <v>33172</v>
      </c>
      <c r="F269" t="s">
        <v>1755</v>
      </c>
      <c r="G269" t="str">
        <f>"32209"</f>
        <v>32209</v>
      </c>
    </row>
    <row r="270" spans="1:7" x14ac:dyDescent="0.25">
      <c r="A270" t="s">
        <v>263</v>
      </c>
      <c r="B270" t="s">
        <v>900</v>
      </c>
      <c r="C270" t="s">
        <v>1366</v>
      </c>
      <c r="D270" t="s">
        <v>1458</v>
      </c>
      <c r="E270" t="str">
        <f>"32063"</f>
        <v>32063</v>
      </c>
      <c r="F270" t="s">
        <v>1756</v>
      </c>
      <c r="G270" t="str">
        <f>"32205"</f>
        <v>32205</v>
      </c>
    </row>
    <row r="271" spans="1:7" x14ac:dyDescent="0.25">
      <c r="A271" t="s">
        <v>264</v>
      </c>
      <c r="B271" t="s">
        <v>901</v>
      </c>
      <c r="C271" t="s">
        <v>1286</v>
      </c>
      <c r="D271" t="s">
        <v>1458</v>
      </c>
      <c r="E271" t="str">
        <f>"32225"</f>
        <v>32225</v>
      </c>
      <c r="F271" t="s">
        <v>1757</v>
      </c>
      <c r="G271" t="str">
        <f>"32211"</f>
        <v>32211</v>
      </c>
    </row>
    <row r="272" spans="1:7" x14ac:dyDescent="0.25">
      <c r="A272" t="s">
        <v>265</v>
      </c>
      <c r="B272" t="s">
        <v>902</v>
      </c>
      <c r="C272" t="s">
        <v>1286</v>
      </c>
      <c r="D272" t="s">
        <v>1458</v>
      </c>
      <c r="E272" t="str">
        <f>"32233"</f>
        <v>32233</v>
      </c>
      <c r="F272" t="s">
        <v>1758</v>
      </c>
      <c r="G272" t="str">
        <f>"32225"</f>
        <v>32225</v>
      </c>
    </row>
    <row r="273" spans="1:7" x14ac:dyDescent="0.25">
      <c r="A273" t="s">
        <v>266</v>
      </c>
      <c r="B273" t="s">
        <v>903</v>
      </c>
      <c r="C273" t="s">
        <v>1367</v>
      </c>
      <c r="D273" t="s">
        <v>1470</v>
      </c>
      <c r="E273" t="str">
        <f>"30114"</f>
        <v>30114</v>
      </c>
      <c r="F273" t="s">
        <v>1759</v>
      </c>
      <c r="G273" t="str">
        <f>"32226"</f>
        <v>32226</v>
      </c>
    </row>
    <row r="274" spans="1:7" x14ac:dyDescent="0.25">
      <c r="A274" t="s">
        <v>267</v>
      </c>
      <c r="B274" t="s">
        <v>904</v>
      </c>
      <c r="C274" t="s">
        <v>1368</v>
      </c>
      <c r="D274" t="s">
        <v>1458</v>
      </c>
      <c r="E274" t="str">
        <f>"33021"</f>
        <v>33021</v>
      </c>
      <c r="F274" t="s">
        <v>1760</v>
      </c>
      <c r="G274" t="str">
        <f>"32211"</f>
        <v>32211</v>
      </c>
    </row>
    <row r="275" spans="1:7" x14ac:dyDescent="0.25">
      <c r="A275" t="s">
        <v>268</v>
      </c>
      <c r="B275" t="s">
        <v>905</v>
      </c>
      <c r="C275" t="s">
        <v>1296</v>
      </c>
      <c r="D275" t="s">
        <v>1458</v>
      </c>
      <c r="E275" t="str">
        <f>"33131"</f>
        <v>33131</v>
      </c>
      <c r="F275" t="s">
        <v>1761</v>
      </c>
      <c r="G275" t="str">
        <f>"32254"</f>
        <v>32254</v>
      </c>
    </row>
    <row r="276" spans="1:7" x14ac:dyDescent="0.25">
      <c r="A276" t="s">
        <v>269</v>
      </c>
      <c r="B276" t="s">
        <v>906</v>
      </c>
      <c r="C276" t="s">
        <v>1369</v>
      </c>
      <c r="D276" t="s">
        <v>1478</v>
      </c>
      <c r="E276" t="str">
        <f>"80501"</f>
        <v>80501</v>
      </c>
      <c r="F276" t="s">
        <v>1762</v>
      </c>
      <c r="G276" t="str">
        <f>"32208"</f>
        <v>32208</v>
      </c>
    </row>
    <row r="277" spans="1:7" x14ac:dyDescent="0.25">
      <c r="A277" t="s">
        <v>270</v>
      </c>
      <c r="B277" t="s">
        <v>907</v>
      </c>
      <c r="C277" t="s">
        <v>1370</v>
      </c>
      <c r="D277" t="s">
        <v>1463</v>
      </c>
      <c r="E277" t="str">
        <f>"91301"</f>
        <v>91301</v>
      </c>
      <c r="F277" t="s">
        <v>1763</v>
      </c>
      <c r="G277" t="str">
        <f>"32246"</f>
        <v>32246</v>
      </c>
    </row>
    <row r="278" spans="1:7" x14ac:dyDescent="0.25">
      <c r="A278" t="s">
        <v>271</v>
      </c>
      <c r="B278" t="s">
        <v>908</v>
      </c>
      <c r="C278" t="s">
        <v>1371</v>
      </c>
      <c r="D278" t="s">
        <v>1464</v>
      </c>
      <c r="E278" t="str">
        <f>"43017"</f>
        <v>43017</v>
      </c>
      <c r="F278" t="s">
        <v>1764</v>
      </c>
      <c r="G278" t="str">
        <f>"32223"</f>
        <v>32223</v>
      </c>
    </row>
    <row r="279" spans="1:7" x14ac:dyDescent="0.25">
      <c r="A279" t="s">
        <v>272</v>
      </c>
      <c r="B279" t="s">
        <v>909</v>
      </c>
      <c r="C279" t="s">
        <v>1286</v>
      </c>
      <c r="D279" t="s">
        <v>1458</v>
      </c>
      <c r="E279" t="str">
        <f>"32244"</f>
        <v>32244</v>
      </c>
      <c r="F279" t="s">
        <v>1765</v>
      </c>
      <c r="G279" t="str">
        <f>"32244"</f>
        <v>32244</v>
      </c>
    </row>
    <row r="280" spans="1:7" x14ac:dyDescent="0.25">
      <c r="A280" t="s">
        <v>273</v>
      </c>
      <c r="B280" t="s">
        <v>910</v>
      </c>
      <c r="C280" t="s">
        <v>1372</v>
      </c>
      <c r="D280" t="s">
        <v>1479</v>
      </c>
      <c r="E280" t="str">
        <f>"48180"</f>
        <v>48180</v>
      </c>
      <c r="F280" t="s">
        <v>1766</v>
      </c>
      <c r="G280" t="str">
        <f>"32208"</f>
        <v>32208</v>
      </c>
    </row>
    <row r="281" spans="1:7" x14ac:dyDescent="0.25">
      <c r="A281" t="s">
        <v>274</v>
      </c>
      <c r="B281" t="s">
        <v>911</v>
      </c>
      <c r="C281" t="s">
        <v>1286</v>
      </c>
      <c r="D281" t="s">
        <v>1458</v>
      </c>
      <c r="E281" t="str">
        <f>"32207"</f>
        <v>32207</v>
      </c>
      <c r="F281" t="s">
        <v>1767</v>
      </c>
      <c r="G281" t="str">
        <f>"32207"</f>
        <v>32207</v>
      </c>
    </row>
    <row r="282" spans="1:7" x14ac:dyDescent="0.25">
      <c r="A282" t="s">
        <v>275</v>
      </c>
      <c r="B282" t="s">
        <v>912</v>
      </c>
      <c r="C282" t="s">
        <v>1373</v>
      </c>
      <c r="D282" t="s">
        <v>1480</v>
      </c>
      <c r="E282" t="str">
        <f>"37013"</f>
        <v>37013</v>
      </c>
      <c r="F282" t="s">
        <v>1768</v>
      </c>
      <c r="G282" t="str">
        <f>"32218"</f>
        <v>32218</v>
      </c>
    </row>
    <row r="283" spans="1:7" x14ac:dyDescent="0.25">
      <c r="A283" t="s">
        <v>276</v>
      </c>
      <c r="B283" t="s">
        <v>913</v>
      </c>
      <c r="C283" t="s">
        <v>1286</v>
      </c>
      <c r="D283" t="s">
        <v>1458</v>
      </c>
      <c r="E283" t="str">
        <f>"32216"</f>
        <v>32216</v>
      </c>
      <c r="F283" t="s">
        <v>1769</v>
      </c>
      <c r="G283" t="str">
        <f>"32211"</f>
        <v>32211</v>
      </c>
    </row>
    <row r="284" spans="1:7" x14ac:dyDescent="0.25">
      <c r="A284" t="s">
        <v>277</v>
      </c>
      <c r="B284" t="s">
        <v>914</v>
      </c>
      <c r="C284" t="s">
        <v>1286</v>
      </c>
      <c r="D284" t="s">
        <v>1458</v>
      </c>
      <c r="E284" t="str">
        <f>"32244"</f>
        <v>32244</v>
      </c>
      <c r="F284" t="s">
        <v>1770</v>
      </c>
      <c r="G284" t="str">
        <f>"32220"</f>
        <v>32220</v>
      </c>
    </row>
    <row r="285" spans="1:7" x14ac:dyDescent="0.25">
      <c r="A285" t="s">
        <v>278</v>
      </c>
      <c r="B285" t="s">
        <v>915</v>
      </c>
      <c r="C285" t="s">
        <v>1286</v>
      </c>
      <c r="D285" t="s">
        <v>1458</v>
      </c>
      <c r="E285" t="str">
        <f>"32222"</f>
        <v>32222</v>
      </c>
      <c r="F285" t="s">
        <v>1771</v>
      </c>
      <c r="G285" t="str">
        <f>"32244"</f>
        <v>32244</v>
      </c>
    </row>
    <row r="286" spans="1:7" x14ac:dyDescent="0.25">
      <c r="A286" t="s">
        <v>279</v>
      </c>
      <c r="B286" t="s">
        <v>916</v>
      </c>
      <c r="C286" t="s">
        <v>1374</v>
      </c>
      <c r="D286" t="s">
        <v>1470</v>
      </c>
      <c r="E286" t="str">
        <f>"31045"</f>
        <v>31045</v>
      </c>
      <c r="F286" t="s">
        <v>1772</v>
      </c>
      <c r="G286" t="str">
        <f>"32205"</f>
        <v>32205</v>
      </c>
    </row>
    <row r="287" spans="1:7" x14ac:dyDescent="0.25">
      <c r="A287" t="s">
        <v>280</v>
      </c>
      <c r="B287" t="s">
        <v>917</v>
      </c>
      <c r="C287" t="s">
        <v>1375</v>
      </c>
      <c r="D287" t="s">
        <v>1470</v>
      </c>
      <c r="E287" t="str">
        <f>"30067"</f>
        <v>30067</v>
      </c>
      <c r="F287" t="s">
        <v>1773</v>
      </c>
      <c r="G287" t="str">
        <f>"32216"</f>
        <v>32216</v>
      </c>
    </row>
    <row r="288" spans="1:7" x14ac:dyDescent="0.25">
      <c r="A288" t="s">
        <v>281</v>
      </c>
      <c r="B288" t="s">
        <v>918</v>
      </c>
      <c r="C288" t="s">
        <v>1286</v>
      </c>
      <c r="D288" t="s">
        <v>1458</v>
      </c>
      <c r="E288" t="str">
        <f>"32246"</f>
        <v>32246</v>
      </c>
      <c r="F288" t="s">
        <v>1774</v>
      </c>
      <c r="G288" t="str">
        <f>"32246"</f>
        <v>32246</v>
      </c>
    </row>
    <row r="289" spans="1:7" x14ac:dyDescent="0.25">
      <c r="A289" t="s">
        <v>282</v>
      </c>
      <c r="B289" t="s">
        <v>919</v>
      </c>
      <c r="C289" t="s">
        <v>1286</v>
      </c>
      <c r="D289" t="s">
        <v>1458</v>
      </c>
      <c r="E289" t="str">
        <f>"32244"</f>
        <v>32244</v>
      </c>
      <c r="F289" t="s">
        <v>1775</v>
      </c>
      <c r="G289" t="str">
        <f>"32206"</f>
        <v>32206</v>
      </c>
    </row>
    <row r="290" spans="1:7" x14ac:dyDescent="0.25">
      <c r="A290" t="s">
        <v>283</v>
      </c>
      <c r="B290" t="s">
        <v>920</v>
      </c>
      <c r="C290" t="s">
        <v>1376</v>
      </c>
      <c r="D290" t="s">
        <v>1458</v>
      </c>
      <c r="E290" t="str">
        <f>"33547"</f>
        <v>33547</v>
      </c>
      <c r="F290" t="s">
        <v>1776</v>
      </c>
      <c r="G290" t="str">
        <f>"32224"</f>
        <v>32224</v>
      </c>
    </row>
    <row r="291" spans="1:7" x14ac:dyDescent="0.25">
      <c r="A291" t="s">
        <v>284</v>
      </c>
      <c r="B291" t="s">
        <v>921</v>
      </c>
      <c r="C291" t="s">
        <v>1377</v>
      </c>
      <c r="D291" t="s">
        <v>1481</v>
      </c>
      <c r="E291" t="str">
        <f>"26351"</f>
        <v>26351</v>
      </c>
      <c r="F291" t="s">
        <v>1777</v>
      </c>
      <c r="G291" t="str">
        <f>"32257"</f>
        <v>32257</v>
      </c>
    </row>
    <row r="292" spans="1:7" x14ac:dyDescent="0.25">
      <c r="A292" t="s">
        <v>285</v>
      </c>
      <c r="B292" t="s">
        <v>922</v>
      </c>
      <c r="C292" t="s">
        <v>1286</v>
      </c>
      <c r="D292" t="s">
        <v>1458</v>
      </c>
      <c r="E292" t="str">
        <f>"32257"</f>
        <v>32257</v>
      </c>
      <c r="F292" t="s">
        <v>1778</v>
      </c>
      <c r="G292" t="str">
        <f>"32277"</f>
        <v>32277</v>
      </c>
    </row>
    <row r="293" spans="1:7" x14ac:dyDescent="0.25">
      <c r="A293" t="s">
        <v>286</v>
      </c>
      <c r="B293" t="s">
        <v>923</v>
      </c>
      <c r="C293" t="s">
        <v>1297</v>
      </c>
      <c r="D293" t="s">
        <v>1458</v>
      </c>
      <c r="E293" t="str">
        <f>"32266"</f>
        <v>32266</v>
      </c>
      <c r="F293" t="s">
        <v>1779</v>
      </c>
      <c r="G293" t="str">
        <f>"32223"</f>
        <v>32223</v>
      </c>
    </row>
    <row r="294" spans="1:7" x14ac:dyDescent="0.25">
      <c r="A294" t="s">
        <v>287</v>
      </c>
      <c r="B294" t="s">
        <v>924</v>
      </c>
      <c r="C294" t="s">
        <v>1305</v>
      </c>
      <c r="D294" t="s">
        <v>1458</v>
      </c>
      <c r="E294" t="str">
        <f>"32092"</f>
        <v>32092</v>
      </c>
      <c r="F294" t="s">
        <v>1780</v>
      </c>
      <c r="G294" t="str">
        <f>"32205"</f>
        <v>32205</v>
      </c>
    </row>
    <row r="295" spans="1:7" x14ac:dyDescent="0.25">
      <c r="A295" t="s">
        <v>288</v>
      </c>
      <c r="B295" t="s">
        <v>925</v>
      </c>
      <c r="C295" t="s">
        <v>1294</v>
      </c>
      <c r="D295" t="s">
        <v>1458</v>
      </c>
      <c r="E295" t="str">
        <f>"32250"</f>
        <v>32250</v>
      </c>
      <c r="F295" t="s">
        <v>1781</v>
      </c>
      <c r="G295" t="str">
        <f>"32224"</f>
        <v>32224</v>
      </c>
    </row>
    <row r="296" spans="1:7" x14ac:dyDescent="0.25">
      <c r="A296" t="s">
        <v>289</v>
      </c>
      <c r="B296" t="s">
        <v>926</v>
      </c>
      <c r="C296" t="s">
        <v>1378</v>
      </c>
      <c r="D296" t="s">
        <v>1458</v>
      </c>
      <c r="E296" t="str">
        <f>"32907"</f>
        <v>32907</v>
      </c>
      <c r="F296" t="s">
        <v>1782</v>
      </c>
      <c r="G296" t="str">
        <f>"32210"</f>
        <v>32210</v>
      </c>
    </row>
    <row r="297" spans="1:7" x14ac:dyDescent="0.25">
      <c r="A297" t="s">
        <v>290</v>
      </c>
      <c r="B297" t="s">
        <v>927</v>
      </c>
      <c r="C297" t="s">
        <v>1379</v>
      </c>
      <c r="D297" t="s">
        <v>1482</v>
      </c>
      <c r="E297" t="str">
        <f>"02532"</f>
        <v>02532</v>
      </c>
      <c r="F297" t="s">
        <v>1783</v>
      </c>
      <c r="G297" t="str">
        <f>"32205"</f>
        <v>32205</v>
      </c>
    </row>
    <row r="298" spans="1:7" x14ac:dyDescent="0.25">
      <c r="A298" t="s">
        <v>291</v>
      </c>
      <c r="B298" t="s">
        <v>928</v>
      </c>
      <c r="C298" t="s">
        <v>1286</v>
      </c>
      <c r="D298" t="s">
        <v>1458</v>
      </c>
      <c r="E298" t="str">
        <f>"32218"</f>
        <v>32218</v>
      </c>
      <c r="F298" t="s">
        <v>1784</v>
      </c>
      <c r="G298" t="str">
        <f>"32217"</f>
        <v>32217</v>
      </c>
    </row>
    <row r="299" spans="1:7" x14ac:dyDescent="0.25">
      <c r="A299" t="s">
        <v>292</v>
      </c>
      <c r="B299" t="s">
        <v>929</v>
      </c>
      <c r="C299" t="s">
        <v>1380</v>
      </c>
      <c r="D299" t="s">
        <v>1458</v>
      </c>
      <c r="E299" t="str">
        <f>"32666"</f>
        <v>32666</v>
      </c>
      <c r="F299" t="s">
        <v>1785</v>
      </c>
      <c r="G299" t="str">
        <f>"32207"</f>
        <v>32207</v>
      </c>
    </row>
    <row r="300" spans="1:7" x14ac:dyDescent="0.25">
      <c r="A300" t="s">
        <v>293</v>
      </c>
      <c r="B300" t="s">
        <v>930</v>
      </c>
      <c r="C300" t="s">
        <v>1381</v>
      </c>
      <c r="D300" t="s">
        <v>1479</v>
      </c>
      <c r="E300" t="str">
        <f>"48377"</f>
        <v>48377</v>
      </c>
      <c r="F300" t="s">
        <v>1786</v>
      </c>
      <c r="G300" t="str">
        <f>"32219"</f>
        <v>32219</v>
      </c>
    </row>
    <row r="301" spans="1:7" x14ac:dyDescent="0.25">
      <c r="A301" t="s">
        <v>294</v>
      </c>
      <c r="B301" t="s">
        <v>931</v>
      </c>
      <c r="C301" t="s">
        <v>1382</v>
      </c>
      <c r="D301" t="s">
        <v>1458</v>
      </c>
      <c r="E301" t="str">
        <f>"32233"</f>
        <v>32233</v>
      </c>
      <c r="F301" t="s">
        <v>1787</v>
      </c>
      <c r="G301" t="str">
        <f>"32250"</f>
        <v>32250</v>
      </c>
    </row>
    <row r="302" spans="1:7" x14ac:dyDescent="0.25">
      <c r="A302" t="s">
        <v>295</v>
      </c>
      <c r="B302" t="s">
        <v>932</v>
      </c>
      <c r="C302" t="s">
        <v>1383</v>
      </c>
      <c r="D302" t="s">
        <v>1482</v>
      </c>
      <c r="E302" t="str">
        <f>"01880"</f>
        <v>01880</v>
      </c>
      <c r="F302" t="s">
        <v>1788</v>
      </c>
      <c r="G302" t="str">
        <f>"32208"</f>
        <v>32208</v>
      </c>
    </row>
    <row r="303" spans="1:7" x14ac:dyDescent="0.25">
      <c r="A303" t="s">
        <v>296</v>
      </c>
      <c r="B303" t="s">
        <v>933</v>
      </c>
      <c r="C303" t="s">
        <v>1343</v>
      </c>
      <c r="D303" t="s">
        <v>1458</v>
      </c>
      <c r="E303" t="str">
        <f>"32137"</f>
        <v>32137</v>
      </c>
      <c r="F303" t="s">
        <v>1789</v>
      </c>
      <c r="G303" t="str">
        <f>"32254"</f>
        <v>32254</v>
      </c>
    </row>
    <row r="304" spans="1:7" x14ac:dyDescent="0.25">
      <c r="A304" t="s">
        <v>297</v>
      </c>
      <c r="B304" t="s">
        <v>934</v>
      </c>
      <c r="C304" t="s">
        <v>1288</v>
      </c>
      <c r="D304" t="s">
        <v>1458</v>
      </c>
      <c r="E304" t="str">
        <f>"32259"</f>
        <v>32259</v>
      </c>
      <c r="F304" t="s">
        <v>1790</v>
      </c>
      <c r="G304" t="str">
        <f>"32204"</f>
        <v>32204</v>
      </c>
    </row>
    <row r="305" spans="1:7" x14ac:dyDescent="0.25">
      <c r="A305" t="s">
        <v>298</v>
      </c>
      <c r="B305" t="s">
        <v>935</v>
      </c>
      <c r="C305" t="s">
        <v>1384</v>
      </c>
      <c r="D305" t="s">
        <v>1463</v>
      </c>
      <c r="E305" t="str">
        <f>"94513"</f>
        <v>94513</v>
      </c>
      <c r="F305" t="s">
        <v>1791</v>
      </c>
      <c r="G305" t="str">
        <f>"32205"</f>
        <v>32205</v>
      </c>
    </row>
    <row r="306" spans="1:7" x14ac:dyDescent="0.25">
      <c r="A306" t="s">
        <v>299</v>
      </c>
      <c r="B306" t="s">
        <v>936</v>
      </c>
      <c r="C306" t="s">
        <v>1286</v>
      </c>
      <c r="D306" t="s">
        <v>1458</v>
      </c>
      <c r="E306" t="str">
        <f>"32216"</f>
        <v>32216</v>
      </c>
      <c r="F306" t="s">
        <v>1792</v>
      </c>
      <c r="G306" t="str">
        <f>"32244"</f>
        <v>32244</v>
      </c>
    </row>
    <row r="307" spans="1:7" x14ac:dyDescent="0.25">
      <c r="A307" t="s">
        <v>300</v>
      </c>
      <c r="B307" t="s">
        <v>937</v>
      </c>
      <c r="C307" t="s">
        <v>1291</v>
      </c>
      <c r="D307" t="s">
        <v>1458</v>
      </c>
      <c r="E307" t="str">
        <f>"32003"</f>
        <v>32003</v>
      </c>
      <c r="F307" t="s">
        <v>1793</v>
      </c>
      <c r="G307" t="str">
        <f>"32211"</f>
        <v>32211</v>
      </c>
    </row>
    <row r="308" spans="1:7" x14ac:dyDescent="0.25">
      <c r="A308" t="s">
        <v>301</v>
      </c>
      <c r="B308" t="s">
        <v>938</v>
      </c>
      <c r="C308" t="s">
        <v>1286</v>
      </c>
      <c r="D308" t="s">
        <v>1458</v>
      </c>
      <c r="E308" t="str">
        <f>"32206"</f>
        <v>32206</v>
      </c>
      <c r="F308" t="s">
        <v>1794</v>
      </c>
      <c r="G308" t="str">
        <f>"32206"</f>
        <v>32206</v>
      </c>
    </row>
    <row r="309" spans="1:7" x14ac:dyDescent="0.25">
      <c r="A309" t="s">
        <v>302</v>
      </c>
      <c r="B309" t="s">
        <v>939</v>
      </c>
      <c r="C309" t="s">
        <v>1286</v>
      </c>
      <c r="D309" t="s">
        <v>1458</v>
      </c>
      <c r="E309" t="str">
        <f>"32218"</f>
        <v>32218</v>
      </c>
      <c r="F309" t="s">
        <v>1795</v>
      </c>
      <c r="G309" t="str">
        <f>"32208"</f>
        <v>32208</v>
      </c>
    </row>
    <row r="310" spans="1:7" x14ac:dyDescent="0.25">
      <c r="A310" t="s">
        <v>303</v>
      </c>
      <c r="B310" t="s">
        <v>940</v>
      </c>
      <c r="C310" t="s">
        <v>1286</v>
      </c>
      <c r="D310" t="s">
        <v>1458</v>
      </c>
      <c r="E310" t="str">
        <f>"32222"</f>
        <v>32222</v>
      </c>
      <c r="F310" t="s">
        <v>1796</v>
      </c>
      <c r="G310" t="str">
        <f>"32218"</f>
        <v>32218</v>
      </c>
    </row>
    <row r="311" spans="1:7" x14ac:dyDescent="0.25">
      <c r="A311" t="s">
        <v>304</v>
      </c>
      <c r="B311" t="s">
        <v>941</v>
      </c>
      <c r="C311" t="s">
        <v>1286</v>
      </c>
      <c r="D311" t="s">
        <v>1458</v>
      </c>
      <c r="E311" t="str">
        <f>"32225"</f>
        <v>32225</v>
      </c>
      <c r="F311" t="s">
        <v>1797</v>
      </c>
      <c r="G311" t="str">
        <f>"32216"</f>
        <v>32216</v>
      </c>
    </row>
    <row r="312" spans="1:7" x14ac:dyDescent="0.25">
      <c r="A312" t="s">
        <v>305</v>
      </c>
      <c r="B312" t="s">
        <v>942</v>
      </c>
      <c r="C312" t="s">
        <v>1294</v>
      </c>
      <c r="D312" t="s">
        <v>1458</v>
      </c>
      <c r="E312" t="str">
        <f>"32250"</f>
        <v>32250</v>
      </c>
      <c r="F312" t="s">
        <v>1798</v>
      </c>
      <c r="G312" t="str">
        <f>"32250"</f>
        <v>32250</v>
      </c>
    </row>
    <row r="313" spans="1:7" x14ac:dyDescent="0.25">
      <c r="A313" t="s">
        <v>306</v>
      </c>
      <c r="B313" t="s">
        <v>943</v>
      </c>
      <c r="C313" t="s">
        <v>1287</v>
      </c>
      <c r="D313" t="s">
        <v>1458</v>
      </c>
      <c r="E313" t="str">
        <f>"32082"</f>
        <v>32082</v>
      </c>
      <c r="F313" t="s">
        <v>1799</v>
      </c>
      <c r="G313" t="str">
        <f>"32211"</f>
        <v>32211</v>
      </c>
    </row>
    <row r="314" spans="1:7" x14ac:dyDescent="0.25">
      <c r="A314" t="s">
        <v>307</v>
      </c>
      <c r="B314" t="s">
        <v>944</v>
      </c>
      <c r="C314" t="s">
        <v>1286</v>
      </c>
      <c r="D314" t="s">
        <v>1458</v>
      </c>
      <c r="E314" t="str">
        <f>"32250"</f>
        <v>32250</v>
      </c>
      <c r="F314" t="s">
        <v>1800</v>
      </c>
      <c r="G314" t="str">
        <f>"32205"</f>
        <v>32205</v>
      </c>
    </row>
    <row r="315" spans="1:7" x14ac:dyDescent="0.25">
      <c r="A315" t="s">
        <v>308</v>
      </c>
      <c r="B315" t="s">
        <v>945</v>
      </c>
      <c r="C315" t="s">
        <v>1385</v>
      </c>
      <c r="D315" t="s">
        <v>1461</v>
      </c>
      <c r="E315" t="str">
        <f>"29651"</f>
        <v>29651</v>
      </c>
      <c r="F315" t="s">
        <v>1801</v>
      </c>
      <c r="G315" t="str">
        <f>"32244"</f>
        <v>32244</v>
      </c>
    </row>
    <row r="316" spans="1:7" x14ac:dyDescent="0.25">
      <c r="A316" t="s">
        <v>309</v>
      </c>
      <c r="B316" t="s">
        <v>946</v>
      </c>
      <c r="C316" t="s">
        <v>1319</v>
      </c>
      <c r="D316" t="s">
        <v>1458</v>
      </c>
      <c r="E316" t="str">
        <f>"33009"</f>
        <v>33009</v>
      </c>
      <c r="F316" t="s">
        <v>1802</v>
      </c>
      <c r="G316" t="str">
        <f>"32211"</f>
        <v>32211</v>
      </c>
    </row>
    <row r="317" spans="1:7" x14ac:dyDescent="0.25">
      <c r="A317" t="s">
        <v>310</v>
      </c>
      <c r="B317" t="s">
        <v>947</v>
      </c>
      <c r="C317" t="s">
        <v>1386</v>
      </c>
      <c r="D317" t="s">
        <v>1462</v>
      </c>
      <c r="E317" t="str">
        <f>"12110"</f>
        <v>12110</v>
      </c>
      <c r="F317" t="s">
        <v>1803</v>
      </c>
      <c r="G317" t="str">
        <f>"32210"</f>
        <v>32210</v>
      </c>
    </row>
    <row r="318" spans="1:7" x14ac:dyDescent="0.25">
      <c r="A318" t="s">
        <v>311</v>
      </c>
      <c r="B318" t="s">
        <v>948</v>
      </c>
      <c r="C318" t="s">
        <v>1286</v>
      </c>
      <c r="D318" t="s">
        <v>1458</v>
      </c>
      <c r="E318" t="str">
        <f>"32257"</f>
        <v>32257</v>
      </c>
      <c r="F318" t="s">
        <v>1804</v>
      </c>
      <c r="G318" t="str">
        <f>"32216"</f>
        <v>32216</v>
      </c>
    </row>
    <row r="319" spans="1:7" x14ac:dyDescent="0.25">
      <c r="A319" t="s">
        <v>312</v>
      </c>
      <c r="B319" t="s">
        <v>949</v>
      </c>
      <c r="C319" t="s">
        <v>1286</v>
      </c>
      <c r="D319" t="s">
        <v>1458</v>
      </c>
      <c r="E319" t="str">
        <f>"32257"</f>
        <v>32257</v>
      </c>
      <c r="F319" t="s">
        <v>1805</v>
      </c>
      <c r="G319" t="str">
        <f>"32277"</f>
        <v>32277</v>
      </c>
    </row>
    <row r="320" spans="1:7" x14ac:dyDescent="0.25">
      <c r="A320" t="s">
        <v>313</v>
      </c>
      <c r="B320" t="s">
        <v>950</v>
      </c>
      <c r="C320" t="s">
        <v>1286</v>
      </c>
      <c r="D320" t="s">
        <v>1458</v>
      </c>
      <c r="E320" t="str">
        <f>"32210"</f>
        <v>32210</v>
      </c>
      <c r="F320" t="s">
        <v>1806</v>
      </c>
      <c r="G320" t="str">
        <f>"32207"</f>
        <v>32207</v>
      </c>
    </row>
    <row r="321" spans="1:7" x14ac:dyDescent="0.25">
      <c r="A321" t="s">
        <v>314</v>
      </c>
      <c r="B321" t="s">
        <v>951</v>
      </c>
      <c r="C321" t="s">
        <v>1288</v>
      </c>
      <c r="D321" t="s">
        <v>1458</v>
      </c>
      <c r="E321" t="str">
        <f>"32259"</f>
        <v>32259</v>
      </c>
      <c r="F321" t="s">
        <v>1807</v>
      </c>
      <c r="G321" t="str">
        <f>"32211"</f>
        <v>32211</v>
      </c>
    </row>
    <row r="322" spans="1:7" x14ac:dyDescent="0.25">
      <c r="A322" t="s">
        <v>315</v>
      </c>
      <c r="B322" t="s">
        <v>952</v>
      </c>
      <c r="C322" t="s">
        <v>1286</v>
      </c>
      <c r="D322" t="s">
        <v>1458</v>
      </c>
      <c r="E322" t="str">
        <f>"32233"</f>
        <v>32233</v>
      </c>
      <c r="F322" t="s">
        <v>1808</v>
      </c>
      <c r="G322" t="str">
        <f>"32205"</f>
        <v>32205</v>
      </c>
    </row>
    <row r="323" spans="1:7" x14ac:dyDescent="0.25">
      <c r="A323" t="s">
        <v>316</v>
      </c>
      <c r="B323" t="s">
        <v>953</v>
      </c>
      <c r="C323" t="s">
        <v>1286</v>
      </c>
      <c r="D323" t="s">
        <v>1458</v>
      </c>
      <c r="E323" t="str">
        <f>"32202"</f>
        <v>32202</v>
      </c>
      <c r="F323" t="s">
        <v>1809</v>
      </c>
      <c r="G323" t="str">
        <f>"32218"</f>
        <v>32218</v>
      </c>
    </row>
    <row r="324" spans="1:7" x14ac:dyDescent="0.25">
      <c r="A324" t="s">
        <v>317</v>
      </c>
      <c r="B324" t="s">
        <v>954</v>
      </c>
      <c r="C324" t="s">
        <v>1286</v>
      </c>
      <c r="D324" t="s">
        <v>1458</v>
      </c>
      <c r="E324" t="str">
        <f>"32211"</f>
        <v>32211</v>
      </c>
      <c r="F324" t="s">
        <v>1810</v>
      </c>
      <c r="G324" t="str">
        <f>"32246"</f>
        <v>32246</v>
      </c>
    </row>
    <row r="325" spans="1:7" x14ac:dyDescent="0.25">
      <c r="A325" t="s">
        <v>318</v>
      </c>
      <c r="B325" t="s">
        <v>955</v>
      </c>
      <c r="C325" t="s">
        <v>1286</v>
      </c>
      <c r="D325" t="s">
        <v>1458</v>
      </c>
      <c r="E325" t="str">
        <f>"32207"</f>
        <v>32207</v>
      </c>
      <c r="F325" t="s">
        <v>1811</v>
      </c>
      <c r="G325" t="str">
        <f>"32225"</f>
        <v>32225</v>
      </c>
    </row>
    <row r="326" spans="1:7" x14ac:dyDescent="0.25">
      <c r="A326" t="s">
        <v>319</v>
      </c>
      <c r="B326" t="s">
        <v>956</v>
      </c>
      <c r="C326" t="s">
        <v>1292</v>
      </c>
      <c r="D326" t="s">
        <v>1459</v>
      </c>
      <c r="E326" t="str">
        <f>"85256"</f>
        <v>85256</v>
      </c>
      <c r="F326" t="s">
        <v>1812</v>
      </c>
      <c r="G326" t="str">
        <f>"32225"</f>
        <v>32225</v>
      </c>
    </row>
    <row r="327" spans="1:7" x14ac:dyDescent="0.25">
      <c r="A327" t="s">
        <v>320</v>
      </c>
      <c r="B327" t="s">
        <v>957</v>
      </c>
      <c r="C327" t="s">
        <v>1387</v>
      </c>
      <c r="D327" t="s">
        <v>1467</v>
      </c>
      <c r="E327" t="str">
        <f>"78363"</f>
        <v>78363</v>
      </c>
      <c r="F327" t="s">
        <v>1813</v>
      </c>
      <c r="G327" t="str">
        <f>"32211"</f>
        <v>32211</v>
      </c>
    </row>
    <row r="328" spans="1:7" x14ac:dyDescent="0.25">
      <c r="A328" t="s">
        <v>321</v>
      </c>
      <c r="B328" t="s">
        <v>958</v>
      </c>
      <c r="C328" t="s">
        <v>1388</v>
      </c>
      <c r="D328" t="s">
        <v>1480</v>
      </c>
      <c r="E328" t="str">
        <f>"37321"</f>
        <v>37321</v>
      </c>
      <c r="F328" t="s">
        <v>1814</v>
      </c>
      <c r="G328" t="str">
        <f>"32257"</f>
        <v>32257</v>
      </c>
    </row>
    <row r="329" spans="1:7" x14ac:dyDescent="0.25">
      <c r="A329" t="s">
        <v>322</v>
      </c>
      <c r="B329" t="s">
        <v>959</v>
      </c>
      <c r="C329" t="s">
        <v>1286</v>
      </c>
      <c r="D329" t="s">
        <v>1458</v>
      </c>
      <c r="E329" t="str">
        <f>"32256"</f>
        <v>32256</v>
      </c>
      <c r="F329" t="s">
        <v>1815</v>
      </c>
      <c r="G329" t="str">
        <f>"32254"</f>
        <v>32254</v>
      </c>
    </row>
    <row r="330" spans="1:7" x14ac:dyDescent="0.25">
      <c r="A330" t="s">
        <v>323</v>
      </c>
      <c r="B330" t="s">
        <v>960</v>
      </c>
      <c r="C330" t="s">
        <v>1292</v>
      </c>
      <c r="D330" t="s">
        <v>1459</v>
      </c>
      <c r="E330" t="str">
        <f>"85255"</f>
        <v>85255</v>
      </c>
      <c r="F330" t="s">
        <v>1816</v>
      </c>
      <c r="G330" t="str">
        <f>"32244"</f>
        <v>32244</v>
      </c>
    </row>
    <row r="331" spans="1:7" x14ac:dyDescent="0.25">
      <c r="A331" t="s">
        <v>324</v>
      </c>
      <c r="B331" t="s">
        <v>961</v>
      </c>
      <c r="C331" t="s">
        <v>1389</v>
      </c>
      <c r="D331" t="s">
        <v>1458</v>
      </c>
      <c r="E331" t="str">
        <f>"32055"</f>
        <v>32055</v>
      </c>
      <c r="F331" t="s">
        <v>1817</v>
      </c>
      <c r="G331" t="str">
        <f>"32207"</f>
        <v>32207</v>
      </c>
    </row>
    <row r="332" spans="1:7" x14ac:dyDescent="0.25">
      <c r="A332" t="s">
        <v>325</v>
      </c>
      <c r="B332" t="s">
        <v>962</v>
      </c>
      <c r="C332" t="s">
        <v>1286</v>
      </c>
      <c r="D332" t="s">
        <v>1458</v>
      </c>
      <c r="E332" t="str">
        <f>"32223"</f>
        <v>32223</v>
      </c>
      <c r="F332" t="s">
        <v>1818</v>
      </c>
      <c r="G332" t="str">
        <f>"32223"</f>
        <v>32223</v>
      </c>
    </row>
    <row r="333" spans="1:7" x14ac:dyDescent="0.25">
      <c r="A333" t="s">
        <v>326</v>
      </c>
      <c r="B333" t="s">
        <v>963</v>
      </c>
      <c r="C333" t="s">
        <v>1286</v>
      </c>
      <c r="D333" t="s">
        <v>1458</v>
      </c>
      <c r="E333" t="str">
        <f>"32256"</f>
        <v>32256</v>
      </c>
      <c r="F333" t="s">
        <v>1819</v>
      </c>
      <c r="G333" t="str">
        <f>"32225"</f>
        <v>32225</v>
      </c>
    </row>
    <row r="334" spans="1:7" x14ac:dyDescent="0.25">
      <c r="A334" t="s">
        <v>327</v>
      </c>
      <c r="B334" t="s">
        <v>964</v>
      </c>
      <c r="C334" t="s">
        <v>1390</v>
      </c>
      <c r="D334" t="s">
        <v>1483</v>
      </c>
      <c r="E334" t="str">
        <f>"87110"</f>
        <v>87110</v>
      </c>
      <c r="F334" t="s">
        <v>1820</v>
      </c>
      <c r="G334" t="str">
        <f>"32211"</f>
        <v>32211</v>
      </c>
    </row>
    <row r="335" spans="1:7" x14ac:dyDescent="0.25">
      <c r="A335" t="s">
        <v>328</v>
      </c>
      <c r="B335" t="s">
        <v>965</v>
      </c>
      <c r="C335" t="s">
        <v>1286</v>
      </c>
      <c r="D335" t="s">
        <v>1458</v>
      </c>
      <c r="E335" t="str">
        <f>"32246"</f>
        <v>32246</v>
      </c>
      <c r="F335" t="s">
        <v>1821</v>
      </c>
      <c r="G335" t="str">
        <f>"32207"</f>
        <v>32207</v>
      </c>
    </row>
    <row r="336" spans="1:7" x14ac:dyDescent="0.25">
      <c r="A336" t="s">
        <v>329</v>
      </c>
      <c r="B336" t="s">
        <v>966</v>
      </c>
      <c r="C336" t="s">
        <v>1286</v>
      </c>
      <c r="D336" t="s">
        <v>1458</v>
      </c>
      <c r="E336" t="str">
        <f>"32210"</f>
        <v>32210</v>
      </c>
      <c r="F336" t="s">
        <v>1822</v>
      </c>
      <c r="G336" t="str">
        <f>"32208"</f>
        <v>32208</v>
      </c>
    </row>
    <row r="337" spans="1:7" x14ac:dyDescent="0.25">
      <c r="A337" t="s">
        <v>330</v>
      </c>
      <c r="B337" t="s">
        <v>967</v>
      </c>
      <c r="C337" t="s">
        <v>1391</v>
      </c>
      <c r="D337" t="s">
        <v>1458</v>
      </c>
      <c r="E337" t="str">
        <f>"33166"</f>
        <v>33166</v>
      </c>
      <c r="F337" t="s">
        <v>1823</v>
      </c>
      <c r="G337" t="str">
        <f>"32244"</f>
        <v>32244</v>
      </c>
    </row>
    <row r="338" spans="1:7" x14ac:dyDescent="0.25">
      <c r="A338" t="s">
        <v>331</v>
      </c>
      <c r="B338" t="s">
        <v>968</v>
      </c>
      <c r="C338" t="s">
        <v>1375</v>
      </c>
      <c r="D338" t="s">
        <v>1470</v>
      </c>
      <c r="E338" t="str">
        <f>"30067"</f>
        <v>30067</v>
      </c>
      <c r="F338" t="s">
        <v>1824</v>
      </c>
      <c r="G338" t="str">
        <f>"32216"</f>
        <v>32216</v>
      </c>
    </row>
    <row r="339" spans="1:7" x14ac:dyDescent="0.25">
      <c r="A339" t="s">
        <v>332</v>
      </c>
      <c r="B339" t="s">
        <v>969</v>
      </c>
      <c r="C339" t="s">
        <v>1287</v>
      </c>
      <c r="D339" t="s">
        <v>1458</v>
      </c>
      <c r="E339" t="str">
        <f>"32082"</f>
        <v>32082</v>
      </c>
      <c r="F339" t="s">
        <v>1825</v>
      </c>
      <c r="G339" t="str">
        <f>"32244"</f>
        <v>32244</v>
      </c>
    </row>
    <row r="340" spans="1:7" x14ac:dyDescent="0.25">
      <c r="A340" t="s">
        <v>333</v>
      </c>
      <c r="B340" t="s">
        <v>970</v>
      </c>
      <c r="C340" t="s">
        <v>1392</v>
      </c>
      <c r="D340" t="s">
        <v>1484</v>
      </c>
      <c r="E340" t="str">
        <f>"74004"</f>
        <v>74004</v>
      </c>
      <c r="F340" t="s">
        <v>1826</v>
      </c>
      <c r="G340" t="str">
        <f>"32210"</f>
        <v>32210</v>
      </c>
    </row>
    <row r="341" spans="1:7" x14ac:dyDescent="0.25">
      <c r="A341" t="s">
        <v>334</v>
      </c>
      <c r="B341" t="s">
        <v>971</v>
      </c>
      <c r="C341" t="s">
        <v>1286</v>
      </c>
      <c r="D341" t="s">
        <v>1458</v>
      </c>
      <c r="E341" t="str">
        <f>"32257"</f>
        <v>32257</v>
      </c>
      <c r="F341" t="s">
        <v>1827</v>
      </c>
      <c r="G341" t="str">
        <f>"32257"</f>
        <v>32257</v>
      </c>
    </row>
    <row r="342" spans="1:7" x14ac:dyDescent="0.25">
      <c r="A342" t="s">
        <v>335</v>
      </c>
      <c r="B342" t="s">
        <v>972</v>
      </c>
      <c r="C342" t="s">
        <v>1338</v>
      </c>
      <c r="D342" t="s">
        <v>1458</v>
      </c>
      <c r="E342" t="str">
        <f>"33139"</f>
        <v>33139</v>
      </c>
      <c r="F342" t="s">
        <v>1828</v>
      </c>
      <c r="G342" t="str">
        <f>"32209"</f>
        <v>32209</v>
      </c>
    </row>
    <row r="343" spans="1:7" x14ac:dyDescent="0.25">
      <c r="A343" t="s">
        <v>336</v>
      </c>
      <c r="B343" t="s">
        <v>973</v>
      </c>
      <c r="C343" t="s">
        <v>1286</v>
      </c>
      <c r="D343" t="s">
        <v>1458</v>
      </c>
      <c r="E343" t="str">
        <f>"32246"</f>
        <v>32246</v>
      </c>
      <c r="F343" t="s">
        <v>1829</v>
      </c>
      <c r="G343" t="str">
        <f>"32211"</f>
        <v>32211</v>
      </c>
    </row>
    <row r="344" spans="1:7" x14ac:dyDescent="0.25">
      <c r="A344" t="s">
        <v>337</v>
      </c>
      <c r="B344" t="s">
        <v>974</v>
      </c>
      <c r="C344" t="s">
        <v>1286</v>
      </c>
      <c r="D344" t="s">
        <v>1458</v>
      </c>
      <c r="E344" t="str">
        <f>"32247"</f>
        <v>32247</v>
      </c>
      <c r="F344" t="s">
        <v>1830</v>
      </c>
      <c r="G344" t="str">
        <f>"32207"</f>
        <v>32207</v>
      </c>
    </row>
    <row r="345" spans="1:7" x14ac:dyDescent="0.25">
      <c r="A345" t="s">
        <v>338</v>
      </c>
      <c r="B345" t="s">
        <v>975</v>
      </c>
      <c r="C345" t="s">
        <v>1286</v>
      </c>
      <c r="D345" t="s">
        <v>1458</v>
      </c>
      <c r="E345" t="str">
        <f>"32259"</f>
        <v>32259</v>
      </c>
      <c r="F345" t="s">
        <v>1831</v>
      </c>
      <c r="G345" t="str">
        <f>"32205"</f>
        <v>32205</v>
      </c>
    </row>
    <row r="346" spans="1:7" x14ac:dyDescent="0.25">
      <c r="A346" t="s">
        <v>339</v>
      </c>
      <c r="B346" t="s">
        <v>976</v>
      </c>
      <c r="C346" t="s">
        <v>1393</v>
      </c>
      <c r="D346" t="s">
        <v>1485</v>
      </c>
      <c r="E346" t="str">
        <f>"20772"</f>
        <v>20772</v>
      </c>
      <c r="F346" t="s">
        <v>1832</v>
      </c>
      <c r="G346" t="str">
        <f>"32207"</f>
        <v>32207</v>
      </c>
    </row>
    <row r="347" spans="1:7" x14ac:dyDescent="0.25">
      <c r="A347" t="s">
        <v>340</v>
      </c>
      <c r="B347" t="s">
        <v>977</v>
      </c>
      <c r="C347" t="s">
        <v>1286</v>
      </c>
      <c r="D347" t="s">
        <v>1458</v>
      </c>
      <c r="E347" t="str">
        <f>"32206"</f>
        <v>32206</v>
      </c>
      <c r="F347" t="s">
        <v>1833</v>
      </c>
      <c r="G347" t="str">
        <f>"32208"</f>
        <v>32208</v>
      </c>
    </row>
    <row r="348" spans="1:7" x14ac:dyDescent="0.25">
      <c r="A348" t="s">
        <v>341</v>
      </c>
      <c r="B348" t="s">
        <v>978</v>
      </c>
      <c r="C348" t="s">
        <v>1394</v>
      </c>
      <c r="D348" t="s">
        <v>1463</v>
      </c>
      <c r="E348" t="str">
        <f>"94538"</f>
        <v>94538</v>
      </c>
      <c r="F348" t="s">
        <v>1834</v>
      </c>
      <c r="G348" t="str">
        <f>"32218"</f>
        <v>32218</v>
      </c>
    </row>
    <row r="349" spans="1:7" x14ac:dyDescent="0.25">
      <c r="A349" t="s">
        <v>342</v>
      </c>
      <c r="B349" t="s">
        <v>979</v>
      </c>
      <c r="C349" t="s">
        <v>1286</v>
      </c>
      <c r="D349" t="s">
        <v>1458</v>
      </c>
      <c r="E349" t="str">
        <f>"32218"</f>
        <v>32218</v>
      </c>
      <c r="F349" t="s">
        <v>1835</v>
      </c>
      <c r="G349" t="str">
        <f>"32207"</f>
        <v>32207</v>
      </c>
    </row>
    <row r="350" spans="1:7" x14ac:dyDescent="0.25">
      <c r="A350" t="s">
        <v>343</v>
      </c>
      <c r="B350" t="s">
        <v>980</v>
      </c>
      <c r="C350" t="s">
        <v>1305</v>
      </c>
      <c r="D350" t="s">
        <v>1458</v>
      </c>
      <c r="E350" t="str">
        <f>"32092"</f>
        <v>32092</v>
      </c>
      <c r="F350" t="s">
        <v>1836</v>
      </c>
      <c r="G350" t="str">
        <f>"32218"</f>
        <v>32218</v>
      </c>
    </row>
    <row r="351" spans="1:7" x14ac:dyDescent="0.25">
      <c r="A351" t="s">
        <v>344</v>
      </c>
      <c r="B351" t="s">
        <v>981</v>
      </c>
      <c r="C351" t="s">
        <v>1286</v>
      </c>
      <c r="D351" t="s">
        <v>1458</v>
      </c>
      <c r="E351" t="str">
        <f>"32223"</f>
        <v>32223</v>
      </c>
      <c r="F351" t="s">
        <v>1837</v>
      </c>
      <c r="G351" t="str">
        <f>"32219"</f>
        <v>32219</v>
      </c>
    </row>
    <row r="352" spans="1:7" x14ac:dyDescent="0.25">
      <c r="A352" t="s">
        <v>345</v>
      </c>
      <c r="B352" t="s">
        <v>982</v>
      </c>
      <c r="C352" t="s">
        <v>1286</v>
      </c>
      <c r="D352" t="s">
        <v>1458</v>
      </c>
      <c r="E352" t="str">
        <f>"32244"</f>
        <v>32244</v>
      </c>
      <c r="F352" t="s">
        <v>1838</v>
      </c>
      <c r="G352" t="str">
        <f>"32217"</f>
        <v>32217</v>
      </c>
    </row>
    <row r="353" spans="1:7" x14ac:dyDescent="0.25">
      <c r="A353" t="s">
        <v>346</v>
      </c>
      <c r="B353" t="s">
        <v>983</v>
      </c>
      <c r="C353" t="s">
        <v>1286</v>
      </c>
      <c r="D353" t="s">
        <v>1458</v>
      </c>
      <c r="E353" t="str">
        <f>"32208"</f>
        <v>32208</v>
      </c>
      <c r="F353" t="s">
        <v>1839</v>
      </c>
      <c r="G353" t="str">
        <f>"32208"</f>
        <v>32208</v>
      </c>
    </row>
    <row r="354" spans="1:7" x14ac:dyDescent="0.25">
      <c r="A354" t="s">
        <v>347</v>
      </c>
      <c r="B354" t="s">
        <v>984</v>
      </c>
      <c r="C354" t="s">
        <v>1286</v>
      </c>
      <c r="D354" t="s">
        <v>1458</v>
      </c>
      <c r="E354" t="str">
        <f>"32246"</f>
        <v>32246</v>
      </c>
      <c r="F354" t="s">
        <v>1840</v>
      </c>
      <c r="G354" t="str">
        <f>"32244"</f>
        <v>32244</v>
      </c>
    </row>
    <row r="355" spans="1:7" x14ac:dyDescent="0.25">
      <c r="A355" t="s">
        <v>318</v>
      </c>
      <c r="B355" t="s">
        <v>985</v>
      </c>
      <c r="C355" t="s">
        <v>1286</v>
      </c>
      <c r="D355" t="s">
        <v>1458</v>
      </c>
      <c r="E355" t="str">
        <f>"32207"</f>
        <v>32207</v>
      </c>
      <c r="F355" t="s">
        <v>1841</v>
      </c>
      <c r="G355" t="str">
        <f>"32244"</f>
        <v>32244</v>
      </c>
    </row>
    <row r="356" spans="1:7" x14ac:dyDescent="0.25">
      <c r="A356" t="s">
        <v>348</v>
      </c>
      <c r="B356" t="s">
        <v>986</v>
      </c>
      <c r="C356" t="s">
        <v>1286</v>
      </c>
      <c r="D356" t="s">
        <v>1458</v>
      </c>
      <c r="E356" t="str">
        <f>"32217"</f>
        <v>32217</v>
      </c>
      <c r="F356" t="s">
        <v>1842</v>
      </c>
      <c r="G356" t="str">
        <f>"32257"</f>
        <v>32257</v>
      </c>
    </row>
    <row r="357" spans="1:7" x14ac:dyDescent="0.25">
      <c r="A357" t="s">
        <v>349</v>
      </c>
      <c r="B357" t="s">
        <v>987</v>
      </c>
      <c r="C357" t="s">
        <v>1286</v>
      </c>
      <c r="D357" t="s">
        <v>1458</v>
      </c>
      <c r="E357" t="str">
        <f>"32216"</f>
        <v>32216</v>
      </c>
      <c r="F357" t="s">
        <v>1843</v>
      </c>
      <c r="G357" t="str">
        <f>"32246"</f>
        <v>32246</v>
      </c>
    </row>
    <row r="358" spans="1:7" x14ac:dyDescent="0.25">
      <c r="A358" t="s">
        <v>350</v>
      </c>
      <c r="B358" t="s">
        <v>988</v>
      </c>
      <c r="C358" t="s">
        <v>1286</v>
      </c>
      <c r="D358" t="s">
        <v>1458</v>
      </c>
      <c r="E358" t="str">
        <f>"32207"</f>
        <v>32207</v>
      </c>
      <c r="F358" t="s">
        <v>1844</v>
      </c>
      <c r="G358" t="str">
        <f>"32207"</f>
        <v>32207</v>
      </c>
    </row>
    <row r="359" spans="1:7" x14ac:dyDescent="0.25">
      <c r="A359" t="s">
        <v>351</v>
      </c>
      <c r="B359" t="s">
        <v>989</v>
      </c>
      <c r="C359" t="s">
        <v>1286</v>
      </c>
      <c r="D359" t="s">
        <v>1458</v>
      </c>
      <c r="E359" t="str">
        <f>"32210"</f>
        <v>32210</v>
      </c>
      <c r="F359" t="s">
        <v>1845</v>
      </c>
      <c r="G359" t="str">
        <f>"32210"</f>
        <v>32210</v>
      </c>
    </row>
    <row r="360" spans="1:7" x14ac:dyDescent="0.25">
      <c r="A360" t="s">
        <v>352</v>
      </c>
      <c r="B360" t="s">
        <v>990</v>
      </c>
      <c r="C360" t="s">
        <v>1291</v>
      </c>
      <c r="D360" t="s">
        <v>1458</v>
      </c>
      <c r="E360" t="str">
        <f>"32003"</f>
        <v>32003</v>
      </c>
      <c r="F360" t="s">
        <v>1846</v>
      </c>
      <c r="G360" t="str">
        <f>"32246"</f>
        <v>32246</v>
      </c>
    </row>
    <row r="361" spans="1:7" x14ac:dyDescent="0.25">
      <c r="A361" t="s">
        <v>353</v>
      </c>
      <c r="B361" t="s">
        <v>991</v>
      </c>
      <c r="C361" t="s">
        <v>1286</v>
      </c>
      <c r="D361" t="s">
        <v>1458</v>
      </c>
      <c r="E361" t="str">
        <f>"32225"</f>
        <v>32225</v>
      </c>
      <c r="F361" t="s">
        <v>1847</v>
      </c>
      <c r="G361" t="str">
        <f>"32207"</f>
        <v>32207</v>
      </c>
    </row>
    <row r="362" spans="1:7" x14ac:dyDescent="0.25">
      <c r="A362" t="s">
        <v>354</v>
      </c>
      <c r="B362" t="s">
        <v>992</v>
      </c>
      <c r="C362" t="s">
        <v>1395</v>
      </c>
      <c r="D362" t="s">
        <v>1477</v>
      </c>
      <c r="E362" t="str">
        <f>"97401"</f>
        <v>97401</v>
      </c>
      <c r="F362" t="s">
        <v>1848</v>
      </c>
      <c r="G362" t="str">
        <f>"32244"</f>
        <v>32244</v>
      </c>
    </row>
    <row r="363" spans="1:7" x14ac:dyDescent="0.25">
      <c r="A363" t="s">
        <v>355</v>
      </c>
      <c r="B363" t="s">
        <v>993</v>
      </c>
      <c r="C363" t="s">
        <v>1286</v>
      </c>
      <c r="D363" t="s">
        <v>1458</v>
      </c>
      <c r="E363" t="str">
        <f>"32244"</f>
        <v>32244</v>
      </c>
      <c r="F363" t="s">
        <v>1849</v>
      </c>
      <c r="G363" t="str">
        <f>"32216"</f>
        <v>32216</v>
      </c>
    </row>
    <row r="364" spans="1:7" x14ac:dyDescent="0.25">
      <c r="A364" t="s">
        <v>356</v>
      </c>
      <c r="B364" t="s">
        <v>994</v>
      </c>
      <c r="C364" t="s">
        <v>1286</v>
      </c>
      <c r="D364" t="s">
        <v>1458</v>
      </c>
      <c r="E364" t="str">
        <f>"32204"</f>
        <v>32204</v>
      </c>
      <c r="F364" t="s">
        <v>1850</v>
      </c>
      <c r="G364" t="str">
        <f>"32205"</f>
        <v>32205</v>
      </c>
    </row>
    <row r="365" spans="1:7" x14ac:dyDescent="0.25">
      <c r="A365" t="s">
        <v>357</v>
      </c>
      <c r="B365" t="s">
        <v>995</v>
      </c>
      <c r="C365" t="s">
        <v>1286</v>
      </c>
      <c r="D365" t="s">
        <v>1458</v>
      </c>
      <c r="E365" t="str">
        <f>"32246"</f>
        <v>32246</v>
      </c>
      <c r="F365" t="s">
        <v>1851</v>
      </c>
      <c r="G365" t="str">
        <f>"32217"</f>
        <v>32217</v>
      </c>
    </row>
    <row r="366" spans="1:7" x14ac:dyDescent="0.25">
      <c r="A366" t="s">
        <v>358</v>
      </c>
      <c r="B366" t="s">
        <v>996</v>
      </c>
      <c r="C366" t="s">
        <v>1287</v>
      </c>
      <c r="D366" t="s">
        <v>1458</v>
      </c>
      <c r="E366" t="str">
        <f>"32082"</f>
        <v>32082</v>
      </c>
      <c r="F366" t="s">
        <v>1852</v>
      </c>
      <c r="G366" t="str">
        <f>"32207"</f>
        <v>32207</v>
      </c>
    </row>
    <row r="367" spans="1:7" x14ac:dyDescent="0.25">
      <c r="A367" t="s">
        <v>359</v>
      </c>
      <c r="B367" t="s">
        <v>997</v>
      </c>
      <c r="C367" t="s">
        <v>1339</v>
      </c>
      <c r="D367" t="s">
        <v>1458</v>
      </c>
      <c r="E367" t="str">
        <f>"33185"</f>
        <v>33185</v>
      </c>
      <c r="F367" t="s">
        <v>1853</v>
      </c>
      <c r="G367" t="str">
        <f>"32208"</f>
        <v>32208</v>
      </c>
    </row>
    <row r="368" spans="1:7" x14ac:dyDescent="0.25">
      <c r="A368" t="s">
        <v>360</v>
      </c>
      <c r="B368" t="s">
        <v>998</v>
      </c>
      <c r="C368" t="s">
        <v>1286</v>
      </c>
      <c r="D368" t="s">
        <v>1458</v>
      </c>
      <c r="E368" t="str">
        <f>"32221"</f>
        <v>32221</v>
      </c>
      <c r="F368" t="s">
        <v>1854</v>
      </c>
      <c r="G368" t="str">
        <f>"32221"</f>
        <v>32221</v>
      </c>
    </row>
    <row r="369" spans="1:7" x14ac:dyDescent="0.25">
      <c r="A369" t="s">
        <v>361</v>
      </c>
      <c r="B369" t="s">
        <v>999</v>
      </c>
      <c r="C369" t="s">
        <v>1286</v>
      </c>
      <c r="D369" t="s">
        <v>1458</v>
      </c>
      <c r="E369" t="str">
        <f>"32244"</f>
        <v>32244</v>
      </c>
      <c r="F369" t="s">
        <v>1855</v>
      </c>
      <c r="G369" t="str">
        <f>"32220"</f>
        <v>32220</v>
      </c>
    </row>
    <row r="370" spans="1:7" x14ac:dyDescent="0.25">
      <c r="A370" t="s">
        <v>362</v>
      </c>
      <c r="B370" t="s">
        <v>1000</v>
      </c>
      <c r="C370" t="s">
        <v>1286</v>
      </c>
      <c r="D370" t="s">
        <v>1458</v>
      </c>
      <c r="E370" t="str">
        <f>"32223"</f>
        <v>32223</v>
      </c>
      <c r="F370" t="s">
        <v>1856</v>
      </c>
      <c r="G370" t="str">
        <f>"32218"</f>
        <v>32218</v>
      </c>
    </row>
    <row r="371" spans="1:7" x14ac:dyDescent="0.25">
      <c r="A371" t="s">
        <v>363</v>
      </c>
      <c r="B371" t="s">
        <v>1001</v>
      </c>
      <c r="C371" t="s">
        <v>1396</v>
      </c>
      <c r="D371" t="s">
        <v>1458</v>
      </c>
      <c r="E371" t="str">
        <f>"34689"</f>
        <v>34689</v>
      </c>
      <c r="F371" t="s">
        <v>1857</v>
      </c>
      <c r="G371" t="str">
        <f>"32211"</f>
        <v>32211</v>
      </c>
    </row>
    <row r="372" spans="1:7" x14ac:dyDescent="0.25">
      <c r="A372" t="s">
        <v>364</v>
      </c>
      <c r="B372" t="s">
        <v>1002</v>
      </c>
      <c r="C372" t="s">
        <v>1305</v>
      </c>
      <c r="D372" t="s">
        <v>1458</v>
      </c>
      <c r="E372" t="str">
        <f>"32092"</f>
        <v>32092</v>
      </c>
      <c r="F372" t="s">
        <v>1858</v>
      </c>
      <c r="G372" t="str">
        <f>"32217"</f>
        <v>32217</v>
      </c>
    </row>
    <row r="373" spans="1:7" x14ac:dyDescent="0.25">
      <c r="A373" t="s">
        <v>365</v>
      </c>
      <c r="B373" t="s">
        <v>1003</v>
      </c>
      <c r="C373" t="s">
        <v>1286</v>
      </c>
      <c r="D373" t="s">
        <v>1458</v>
      </c>
      <c r="E373" t="str">
        <f>"32216"</f>
        <v>32216</v>
      </c>
      <c r="F373" t="s">
        <v>1859</v>
      </c>
      <c r="G373" t="str">
        <f>"32218"</f>
        <v>32218</v>
      </c>
    </row>
    <row r="374" spans="1:7" x14ac:dyDescent="0.25">
      <c r="A374" t="s">
        <v>366</v>
      </c>
      <c r="B374" t="s">
        <v>1004</v>
      </c>
      <c r="C374" t="s">
        <v>1397</v>
      </c>
      <c r="D374" t="s">
        <v>1463</v>
      </c>
      <c r="E374" t="str">
        <f>"90808"</f>
        <v>90808</v>
      </c>
      <c r="F374" t="s">
        <v>1860</v>
      </c>
      <c r="G374" t="str">
        <f>"32208"</f>
        <v>32208</v>
      </c>
    </row>
    <row r="375" spans="1:7" x14ac:dyDescent="0.25">
      <c r="A375" t="s">
        <v>367</v>
      </c>
      <c r="B375" t="s">
        <v>1005</v>
      </c>
      <c r="C375" t="s">
        <v>1286</v>
      </c>
      <c r="D375" t="s">
        <v>1458</v>
      </c>
      <c r="E375" t="str">
        <f>"32246"</f>
        <v>32246</v>
      </c>
      <c r="F375" t="s">
        <v>1861</v>
      </c>
      <c r="G375" t="str">
        <f>"32216"</f>
        <v>32216</v>
      </c>
    </row>
    <row r="376" spans="1:7" x14ac:dyDescent="0.25">
      <c r="A376" t="s">
        <v>368</v>
      </c>
      <c r="B376" t="s">
        <v>1006</v>
      </c>
      <c r="C376" t="s">
        <v>1286</v>
      </c>
      <c r="D376" t="s">
        <v>1458</v>
      </c>
      <c r="E376" t="str">
        <f>"32208"</f>
        <v>32208</v>
      </c>
      <c r="F376" t="s">
        <v>1862</v>
      </c>
      <c r="G376" t="str">
        <f>"32208"</f>
        <v>32208</v>
      </c>
    </row>
    <row r="377" spans="1:7" x14ac:dyDescent="0.25">
      <c r="A377" t="s">
        <v>369</v>
      </c>
      <c r="B377" t="s">
        <v>1007</v>
      </c>
      <c r="C377" t="s">
        <v>1398</v>
      </c>
      <c r="D377" t="s">
        <v>1463</v>
      </c>
      <c r="E377" t="str">
        <f>"95337"</f>
        <v>95337</v>
      </c>
      <c r="F377" t="s">
        <v>1863</v>
      </c>
      <c r="G377" t="str">
        <f>"32210"</f>
        <v>32210</v>
      </c>
    </row>
    <row r="378" spans="1:7" x14ac:dyDescent="0.25">
      <c r="A378" t="s">
        <v>370</v>
      </c>
      <c r="B378" t="s">
        <v>1008</v>
      </c>
      <c r="C378" t="s">
        <v>1286</v>
      </c>
      <c r="D378" t="s">
        <v>1458</v>
      </c>
      <c r="E378" t="str">
        <f>"32207"</f>
        <v>32207</v>
      </c>
      <c r="F378" t="s">
        <v>1864</v>
      </c>
      <c r="G378" t="str">
        <f>"32207"</f>
        <v>32207</v>
      </c>
    </row>
    <row r="379" spans="1:7" x14ac:dyDescent="0.25">
      <c r="A379" t="s">
        <v>371</v>
      </c>
      <c r="B379" t="s">
        <v>1009</v>
      </c>
      <c r="C379" t="s">
        <v>1286</v>
      </c>
      <c r="D379" t="s">
        <v>1458</v>
      </c>
      <c r="E379" t="str">
        <f>"32211"</f>
        <v>32211</v>
      </c>
      <c r="F379" t="s">
        <v>1865</v>
      </c>
      <c r="G379" t="str">
        <f>"32209"</f>
        <v>32209</v>
      </c>
    </row>
    <row r="380" spans="1:7" x14ac:dyDescent="0.25">
      <c r="A380" t="s">
        <v>372</v>
      </c>
      <c r="B380" t="s">
        <v>1010</v>
      </c>
      <c r="C380" t="s">
        <v>1399</v>
      </c>
      <c r="D380" t="s">
        <v>1458</v>
      </c>
      <c r="E380" t="str">
        <f>"33428"</f>
        <v>33428</v>
      </c>
      <c r="F380" t="s">
        <v>1866</v>
      </c>
      <c r="G380" t="str">
        <f>"32208"</f>
        <v>32208</v>
      </c>
    </row>
    <row r="381" spans="1:7" x14ac:dyDescent="0.25">
      <c r="A381" t="s">
        <v>373</v>
      </c>
      <c r="B381" t="s">
        <v>1011</v>
      </c>
      <c r="C381" t="s">
        <v>1286</v>
      </c>
      <c r="D381" t="s">
        <v>1458</v>
      </c>
      <c r="E381" t="str">
        <f>"32256"</f>
        <v>32256</v>
      </c>
      <c r="F381" t="s">
        <v>1867</v>
      </c>
      <c r="G381" t="str">
        <f>"32216"</f>
        <v>32216</v>
      </c>
    </row>
    <row r="382" spans="1:7" x14ac:dyDescent="0.25">
      <c r="A382" t="s">
        <v>374</v>
      </c>
      <c r="B382" t="s">
        <v>1012</v>
      </c>
      <c r="C382" t="s">
        <v>1400</v>
      </c>
      <c r="D382" t="s">
        <v>1464</v>
      </c>
      <c r="E382" t="str">
        <f>"43065"</f>
        <v>43065</v>
      </c>
      <c r="F382" t="s">
        <v>1868</v>
      </c>
      <c r="G382" t="str">
        <f>"32244"</f>
        <v>32244</v>
      </c>
    </row>
    <row r="383" spans="1:7" x14ac:dyDescent="0.25">
      <c r="A383" t="s">
        <v>375</v>
      </c>
      <c r="B383" t="s">
        <v>1013</v>
      </c>
      <c r="C383" t="s">
        <v>1286</v>
      </c>
      <c r="D383" t="s">
        <v>1458</v>
      </c>
      <c r="E383" t="str">
        <f>"32207"</f>
        <v>32207</v>
      </c>
      <c r="F383" t="s">
        <v>1869</v>
      </c>
      <c r="G383" t="str">
        <f>"32205"</f>
        <v>32205</v>
      </c>
    </row>
    <row r="384" spans="1:7" x14ac:dyDescent="0.25">
      <c r="A384" t="s">
        <v>376</v>
      </c>
      <c r="B384" t="s">
        <v>1014</v>
      </c>
      <c r="C384" t="s">
        <v>1401</v>
      </c>
      <c r="D384" t="s">
        <v>1482</v>
      </c>
      <c r="E384" t="str">
        <f>"02331"</f>
        <v>02331</v>
      </c>
      <c r="F384" t="s">
        <v>1870</v>
      </c>
      <c r="G384" t="str">
        <f>"32208"</f>
        <v>32208</v>
      </c>
    </row>
    <row r="385" spans="1:7" x14ac:dyDescent="0.25">
      <c r="A385" t="s">
        <v>365</v>
      </c>
      <c r="B385" t="s">
        <v>1015</v>
      </c>
      <c r="C385" t="s">
        <v>1286</v>
      </c>
      <c r="D385" t="s">
        <v>1458</v>
      </c>
      <c r="E385" t="str">
        <f>"32216"</f>
        <v>32216</v>
      </c>
      <c r="F385" t="s">
        <v>1871</v>
      </c>
      <c r="G385" t="str">
        <f>"32204"</f>
        <v>32204</v>
      </c>
    </row>
    <row r="386" spans="1:7" x14ac:dyDescent="0.25">
      <c r="A386" t="s">
        <v>377</v>
      </c>
      <c r="B386" t="s">
        <v>1016</v>
      </c>
      <c r="C386" t="s">
        <v>1286</v>
      </c>
      <c r="D386" t="s">
        <v>1458</v>
      </c>
      <c r="E386" t="str">
        <f>"32216"</f>
        <v>32216</v>
      </c>
      <c r="F386" t="s">
        <v>1872</v>
      </c>
      <c r="G386" t="str">
        <f>"32223"</f>
        <v>32223</v>
      </c>
    </row>
    <row r="387" spans="1:7" x14ac:dyDescent="0.25">
      <c r="A387" t="s">
        <v>378</v>
      </c>
      <c r="B387" t="s">
        <v>1017</v>
      </c>
      <c r="C387" t="s">
        <v>1402</v>
      </c>
      <c r="D387" t="s">
        <v>1458</v>
      </c>
      <c r="E387" t="str">
        <f>"32653"</f>
        <v>32653</v>
      </c>
      <c r="F387" t="s">
        <v>1873</v>
      </c>
      <c r="G387" t="str">
        <f>"32244"</f>
        <v>32244</v>
      </c>
    </row>
    <row r="388" spans="1:7" x14ac:dyDescent="0.25">
      <c r="A388" t="s">
        <v>379</v>
      </c>
      <c r="B388" t="s">
        <v>1018</v>
      </c>
      <c r="C388" t="s">
        <v>1316</v>
      </c>
      <c r="D388" t="s">
        <v>1458</v>
      </c>
      <c r="E388" t="str">
        <f>"32259"</f>
        <v>32259</v>
      </c>
      <c r="F388" t="s">
        <v>1874</v>
      </c>
      <c r="G388" t="str">
        <f>"32210"</f>
        <v>32210</v>
      </c>
    </row>
    <row r="389" spans="1:7" x14ac:dyDescent="0.25">
      <c r="A389" t="s">
        <v>380</v>
      </c>
      <c r="B389" t="s">
        <v>1019</v>
      </c>
      <c r="C389" t="s">
        <v>1286</v>
      </c>
      <c r="D389" t="s">
        <v>1458</v>
      </c>
      <c r="E389" t="str">
        <f>"32257"</f>
        <v>32257</v>
      </c>
      <c r="F389" t="s">
        <v>1875</v>
      </c>
      <c r="G389" t="str">
        <f>"32210"</f>
        <v>32210</v>
      </c>
    </row>
    <row r="390" spans="1:7" x14ac:dyDescent="0.25">
      <c r="A390" t="s">
        <v>381</v>
      </c>
      <c r="B390" t="s">
        <v>1020</v>
      </c>
      <c r="C390" t="s">
        <v>1286</v>
      </c>
      <c r="D390" t="s">
        <v>1458</v>
      </c>
      <c r="E390" t="str">
        <f>"32205"</f>
        <v>32205</v>
      </c>
      <c r="F390" t="s">
        <v>1876</v>
      </c>
      <c r="G390" t="str">
        <f>"32244"</f>
        <v>32244</v>
      </c>
    </row>
    <row r="391" spans="1:7" x14ac:dyDescent="0.25">
      <c r="A391" t="s">
        <v>382</v>
      </c>
      <c r="B391" t="s">
        <v>1021</v>
      </c>
      <c r="C391" t="s">
        <v>1286</v>
      </c>
      <c r="D391" t="s">
        <v>1458</v>
      </c>
      <c r="E391" t="str">
        <f>"32244"</f>
        <v>32244</v>
      </c>
      <c r="F391" t="s">
        <v>1877</v>
      </c>
      <c r="G391" t="str">
        <f>"32244"</f>
        <v>32244</v>
      </c>
    </row>
    <row r="392" spans="1:7" x14ac:dyDescent="0.25">
      <c r="A392" t="s">
        <v>383</v>
      </c>
      <c r="B392" t="s">
        <v>1022</v>
      </c>
      <c r="C392" t="s">
        <v>1305</v>
      </c>
      <c r="D392" t="s">
        <v>1458</v>
      </c>
      <c r="E392" t="str">
        <f>"32095"</f>
        <v>32095</v>
      </c>
      <c r="F392" t="s">
        <v>1878</v>
      </c>
      <c r="G392" t="str">
        <f>"32217"</f>
        <v>32217</v>
      </c>
    </row>
    <row r="393" spans="1:7" x14ac:dyDescent="0.25">
      <c r="A393" t="s">
        <v>384</v>
      </c>
      <c r="B393" t="s">
        <v>1023</v>
      </c>
      <c r="C393" t="s">
        <v>1290</v>
      </c>
      <c r="D393" t="s">
        <v>1458</v>
      </c>
      <c r="E393" t="str">
        <f>"32073"</f>
        <v>32073</v>
      </c>
      <c r="F393" t="s">
        <v>1879</v>
      </c>
      <c r="G393" t="str">
        <f>"32244"</f>
        <v>32244</v>
      </c>
    </row>
    <row r="394" spans="1:7" x14ac:dyDescent="0.25">
      <c r="A394" t="s">
        <v>385</v>
      </c>
      <c r="B394" t="s">
        <v>1024</v>
      </c>
      <c r="C394" t="s">
        <v>1403</v>
      </c>
      <c r="D394" t="s">
        <v>1469</v>
      </c>
      <c r="E394" t="str">
        <f>"84121"</f>
        <v>84121</v>
      </c>
      <c r="F394" t="s">
        <v>1880</v>
      </c>
      <c r="G394" t="str">
        <f>"32244"</f>
        <v>32244</v>
      </c>
    </row>
    <row r="395" spans="1:7" x14ac:dyDescent="0.25">
      <c r="A395" t="s">
        <v>386</v>
      </c>
      <c r="B395" t="s">
        <v>1025</v>
      </c>
      <c r="C395" t="s">
        <v>1286</v>
      </c>
      <c r="D395" t="s">
        <v>1458</v>
      </c>
      <c r="E395" t="str">
        <f>"32244"</f>
        <v>32244</v>
      </c>
      <c r="F395" t="s">
        <v>1025</v>
      </c>
      <c r="G395" t="str">
        <f>"32244"</f>
        <v>32244</v>
      </c>
    </row>
    <row r="396" spans="1:7" x14ac:dyDescent="0.25">
      <c r="A396" t="s">
        <v>387</v>
      </c>
      <c r="B396" t="s">
        <v>1026</v>
      </c>
      <c r="C396" t="s">
        <v>1288</v>
      </c>
      <c r="D396" t="s">
        <v>1458</v>
      </c>
      <c r="E396" t="str">
        <f>"32259"</f>
        <v>32259</v>
      </c>
      <c r="F396" t="s">
        <v>1881</v>
      </c>
      <c r="G396" t="str">
        <f>"32210"</f>
        <v>32210</v>
      </c>
    </row>
    <row r="397" spans="1:7" x14ac:dyDescent="0.25">
      <c r="A397" t="s">
        <v>388</v>
      </c>
      <c r="B397" t="s">
        <v>1027</v>
      </c>
      <c r="C397" t="s">
        <v>1370</v>
      </c>
      <c r="D397" t="s">
        <v>1463</v>
      </c>
      <c r="E397" t="str">
        <f>"91301"</f>
        <v>91301</v>
      </c>
      <c r="F397" t="s">
        <v>1882</v>
      </c>
      <c r="G397" t="str">
        <f>"32226"</f>
        <v>32226</v>
      </c>
    </row>
    <row r="398" spans="1:7" x14ac:dyDescent="0.25">
      <c r="A398" t="s">
        <v>389</v>
      </c>
      <c r="B398" t="s">
        <v>1028</v>
      </c>
      <c r="C398" t="s">
        <v>1305</v>
      </c>
      <c r="D398" t="s">
        <v>1458</v>
      </c>
      <c r="E398" t="str">
        <f>"32085"</f>
        <v>32085</v>
      </c>
      <c r="F398" t="s">
        <v>1883</v>
      </c>
      <c r="G398" t="str">
        <f>"32205"</f>
        <v>32205</v>
      </c>
    </row>
    <row r="399" spans="1:7" x14ac:dyDescent="0.25">
      <c r="A399" t="s">
        <v>390</v>
      </c>
      <c r="B399" t="s">
        <v>1029</v>
      </c>
      <c r="C399" t="s">
        <v>1286</v>
      </c>
      <c r="D399" t="s">
        <v>1458</v>
      </c>
      <c r="E399" t="str">
        <f>"32210"</f>
        <v>32210</v>
      </c>
      <c r="F399" t="s">
        <v>1884</v>
      </c>
      <c r="G399" t="str">
        <f>"32208"</f>
        <v>32208</v>
      </c>
    </row>
    <row r="400" spans="1:7" x14ac:dyDescent="0.25">
      <c r="A400" t="s">
        <v>391</v>
      </c>
      <c r="B400" t="s">
        <v>1030</v>
      </c>
      <c r="C400" t="s">
        <v>1286</v>
      </c>
      <c r="D400" t="s">
        <v>1458</v>
      </c>
      <c r="E400" t="str">
        <f>"32246"</f>
        <v>32246</v>
      </c>
      <c r="F400" t="s">
        <v>1885</v>
      </c>
      <c r="G400" t="str">
        <f>"32210"</f>
        <v>32210</v>
      </c>
    </row>
    <row r="401" spans="1:7" x14ac:dyDescent="0.25">
      <c r="A401" t="s">
        <v>392</v>
      </c>
      <c r="B401" t="s">
        <v>1031</v>
      </c>
      <c r="C401" t="s">
        <v>1286</v>
      </c>
      <c r="D401" t="s">
        <v>1458</v>
      </c>
      <c r="E401" t="str">
        <f>"32246"</f>
        <v>32246</v>
      </c>
      <c r="F401" t="s">
        <v>1886</v>
      </c>
      <c r="G401" t="str">
        <f>"32246"</f>
        <v>32246</v>
      </c>
    </row>
    <row r="402" spans="1:7" x14ac:dyDescent="0.25">
      <c r="A402" t="s">
        <v>393</v>
      </c>
      <c r="B402" t="s">
        <v>1032</v>
      </c>
      <c r="C402" t="s">
        <v>1305</v>
      </c>
      <c r="D402" t="s">
        <v>1458</v>
      </c>
      <c r="E402" t="str">
        <f>"32092"</f>
        <v>32092</v>
      </c>
      <c r="F402" t="s">
        <v>1887</v>
      </c>
      <c r="G402" t="str">
        <f>"32205"</f>
        <v>32205</v>
      </c>
    </row>
    <row r="403" spans="1:7" x14ac:dyDescent="0.25">
      <c r="A403" t="s">
        <v>394</v>
      </c>
      <c r="B403" t="s">
        <v>1033</v>
      </c>
      <c r="C403" t="s">
        <v>1287</v>
      </c>
      <c r="D403" t="s">
        <v>1458</v>
      </c>
      <c r="E403" t="str">
        <f>"32082"</f>
        <v>32082</v>
      </c>
      <c r="F403" t="s">
        <v>1888</v>
      </c>
      <c r="G403" t="str">
        <f>"32226"</f>
        <v>32226</v>
      </c>
    </row>
    <row r="404" spans="1:7" x14ac:dyDescent="0.25">
      <c r="A404" t="s">
        <v>395</v>
      </c>
      <c r="B404" t="s">
        <v>1034</v>
      </c>
      <c r="C404" t="s">
        <v>1404</v>
      </c>
      <c r="D404" t="s">
        <v>1460</v>
      </c>
      <c r="E404" t="str">
        <f>"27615"</f>
        <v>27615</v>
      </c>
      <c r="F404" t="s">
        <v>1889</v>
      </c>
      <c r="G404" t="str">
        <f>"32209"</f>
        <v>32209</v>
      </c>
    </row>
    <row r="405" spans="1:7" x14ac:dyDescent="0.25">
      <c r="A405" t="s">
        <v>396</v>
      </c>
      <c r="B405" t="s">
        <v>1035</v>
      </c>
      <c r="C405" t="s">
        <v>1286</v>
      </c>
      <c r="D405" t="s">
        <v>1458</v>
      </c>
      <c r="E405" t="str">
        <f>"32246"</f>
        <v>32246</v>
      </c>
      <c r="F405" t="s">
        <v>1890</v>
      </c>
      <c r="G405" t="str">
        <f>"32254"</f>
        <v>32254</v>
      </c>
    </row>
    <row r="406" spans="1:7" x14ac:dyDescent="0.25">
      <c r="A406" t="s">
        <v>397</v>
      </c>
      <c r="B406" t="s">
        <v>1036</v>
      </c>
      <c r="C406" t="s">
        <v>1286</v>
      </c>
      <c r="D406" t="s">
        <v>1458</v>
      </c>
      <c r="E406" t="str">
        <f>"32216"</f>
        <v>32216</v>
      </c>
      <c r="F406" t="s">
        <v>1891</v>
      </c>
      <c r="G406" t="str">
        <f>"32207"</f>
        <v>32207</v>
      </c>
    </row>
    <row r="407" spans="1:7" x14ac:dyDescent="0.25">
      <c r="A407" t="s">
        <v>398</v>
      </c>
      <c r="B407" t="s">
        <v>1037</v>
      </c>
      <c r="C407" t="s">
        <v>1286</v>
      </c>
      <c r="D407" t="s">
        <v>1458</v>
      </c>
      <c r="E407" t="str">
        <f>"32246"</f>
        <v>32246</v>
      </c>
      <c r="F407" t="s">
        <v>1892</v>
      </c>
      <c r="G407" t="str">
        <f>"32246"</f>
        <v>32246</v>
      </c>
    </row>
    <row r="408" spans="1:7" x14ac:dyDescent="0.25">
      <c r="A408" t="s">
        <v>399</v>
      </c>
      <c r="B408" t="s">
        <v>1038</v>
      </c>
      <c r="C408" t="s">
        <v>1405</v>
      </c>
      <c r="D408" t="s">
        <v>1458</v>
      </c>
      <c r="E408" t="str">
        <f>"32127"</f>
        <v>32127</v>
      </c>
      <c r="F408" t="s">
        <v>1893</v>
      </c>
      <c r="G408" t="str">
        <f>"32257"</f>
        <v>32257</v>
      </c>
    </row>
    <row r="409" spans="1:7" x14ac:dyDescent="0.25">
      <c r="A409" t="s">
        <v>400</v>
      </c>
      <c r="B409" t="s">
        <v>1039</v>
      </c>
      <c r="C409" t="s">
        <v>1299</v>
      </c>
      <c r="D409" t="s">
        <v>1462</v>
      </c>
      <c r="E409" t="str">
        <f>"10016"</f>
        <v>10016</v>
      </c>
      <c r="F409" t="s">
        <v>1894</v>
      </c>
      <c r="G409" t="str">
        <f>"32219"</f>
        <v>32219</v>
      </c>
    </row>
    <row r="410" spans="1:7" x14ac:dyDescent="0.25">
      <c r="A410" t="s">
        <v>401</v>
      </c>
      <c r="B410" t="s">
        <v>1040</v>
      </c>
      <c r="C410" t="s">
        <v>1286</v>
      </c>
      <c r="D410" t="s">
        <v>1458</v>
      </c>
      <c r="E410" t="str">
        <f>"32225"</f>
        <v>32225</v>
      </c>
      <c r="F410" t="s">
        <v>1895</v>
      </c>
      <c r="G410" t="str">
        <f>"32225"</f>
        <v>32225</v>
      </c>
    </row>
    <row r="411" spans="1:7" x14ac:dyDescent="0.25">
      <c r="A411" t="s">
        <v>402</v>
      </c>
      <c r="B411" t="s">
        <v>1041</v>
      </c>
      <c r="C411" t="s">
        <v>1286</v>
      </c>
      <c r="D411" t="s">
        <v>1458</v>
      </c>
      <c r="E411" t="str">
        <f>"32246"</f>
        <v>32246</v>
      </c>
      <c r="F411" t="s">
        <v>1896</v>
      </c>
      <c r="G411" t="str">
        <f>"32225"</f>
        <v>32225</v>
      </c>
    </row>
    <row r="412" spans="1:7" x14ac:dyDescent="0.25">
      <c r="A412" t="s">
        <v>403</v>
      </c>
      <c r="B412" t="s">
        <v>1042</v>
      </c>
      <c r="C412" t="s">
        <v>1294</v>
      </c>
      <c r="D412" t="s">
        <v>1458</v>
      </c>
      <c r="E412" t="str">
        <f>"32250"</f>
        <v>32250</v>
      </c>
      <c r="F412" t="s">
        <v>1897</v>
      </c>
      <c r="G412" t="str">
        <f>"32246"</f>
        <v>32246</v>
      </c>
    </row>
    <row r="413" spans="1:7" x14ac:dyDescent="0.25">
      <c r="A413" t="s">
        <v>404</v>
      </c>
      <c r="B413" t="s">
        <v>1043</v>
      </c>
      <c r="C413" t="s">
        <v>1406</v>
      </c>
      <c r="D413" t="s">
        <v>1458</v>
      </c>
      <c r="E413" t="str">
        <f>"32041"</f>
        <v>32041</v>
      </c>
      <c r="F413" t="s">
        <v>1898</v>
      </c>
      <c r="G413" t="str">
        <f>"32226"</f>
        <v>32226</v>
      </c>
    </row>
    <row r="414" spans="1:7" x14ac:dyDescent="0.25">
      <c r="A414" t="s">
        <v>405</v>
      </c>
      <c r="B414" t="s">
        <v>1044</v>
      </c>
      <c r="C414" t="s">
        <v>1286</v>
      </c>
      <c r="D414" t="s">
        <v>1458</v>
      </c>
      <c r="E414" t="str">
        <f>"32216"</f>
        <v>32216</v>
      </c>
      <c r="F414" t="s">
        <v>1899</v>
      </c>
      <c r="G414" t="str">
        <f>"32218"</f>
        <v>32218</v>
      </c>
    </row>
    <row r="415" spans="1:7" x14ac:dyDescent="0.25">
      <c r="A415" t="s">
        <v>406</v>
      </c>
      <c r="B415" t="s">
        <v>1045</v>
      </c>
      <c r="C415" t="s">
        <v>1287</v>
      </c>
      <c r="D415" t="s">
        <v>1458</v>
      </c>
      <c r="E415" t="str">
        <f>"32081"</f>
        <v>32081</v>
      </c>
      <c r="F415" t="s">
        <v>1900</v>
      </c>
      <c r="G415" t="str">
        <f>"32219"</f>
        <v>32219</v>
      </c>
    </row>
    <row r="416" spans="1:7" x14ac:dyDescent="0.25">
      <c r="A416" t="s">
        <v>407</v>
      </c>
      <c r="B416" t="s">
        <v>1046</v>
      </c>
      <c r="C416" t="s">
        <v>1286</v>
      </c>
      <c r="D416" t="s">
        <v>1458</v>
      </c>
      <c r="E416" t="str">
        <f>"32217"</f>
        <v>32217</v>
      </c>
      <c r="F416" t="s">
        <v>1901</v>
      </c>
      <c r="G416" t="str">
        <f>"32254"</f>
        <v>32254</v>
      </c>
    </row>
    <row r="417" spans="1:7" x14ac:dyDescent="0.25">
      <c r="A417" t="s">
        <v>408</v>
      </c>
      <c r="B417" t="s">
        <v>1047</v>
      </c>
      <c r="C417" t="s">
        <v>1286</v>
      </c>
      <c r="D417" t="s">
        <v>1458</v>
      </c>
      <c r="E417" t="str">
        <f>"32216"</f>
        <v>32216</v>
      </c>
      <c r="F417" t="s">
        <v>1902</v>
      </c>
      <c r="G417" t="str">
        <f>"32221"</f>
        <v>32221</v>
      </c>
    </row>
    <row r="418" spans="1:7" x14ac:dyDescent="0.25">
      <c r="A418" t="s">
        <v>409</v>
      </c>
      <c r="B418" t="s">
        <v>1048</v>
      </c>
      <c r="C418" t="s">
        <v>1286</v>
      </c>
      <c r="D418" t="s">
        <v>1458</v>
      </c>
      <c r="E418" t="str">
        <f>"32211"</f>
        <v>32211</v>
      </c>
      <c r="F418" t="s">
        <v>1903</v>
      </c>
      <c r="G418" t="str">
        <f>"32211"</f>
        <v>32211</v>
      </c>
    </row>
    <row r="419" spans="1:7" x14ac:dyDescent="0.25">
      <c r="A419" t="s">
        <v>410</v>
      </c>
      <c r="B419" t="s">
        <v>1049</v>
      </c>
      <c r="C419" t="s">
        <v>1346</v>
      </c>
      <c r="D419" t="s">
        <v>1462</v>
      </c>
      <c r="E419" t="str">
        <f>"11206"</f>
        <v>11206</v>
      </c>
      <c r="F419" t="s">
        <v>1904</v>
      </c>
      <c r="G419" t="str">
        <f>"32205"</f>
        <v>32205</v>
      </c>
    </row>
    <row r="420" spans="1:7" x14ac:dyDescent="0.25">
      <c r="A420" t="s">
        <v>411</v>
      </c>
      <c r="B420" t="s">
        <v>1050</v>
      </c>
      <c r="C420" t="s">
        <v>1286</v>
      </c>
      <c r="D420" t="s">
        <v>1458</v>
      </c>
      <c r="E420" t="str">
        <f>"32258"</f>
        <v>32258</v>
      </c>
      <c r="F420" t="s">
        <v>1905</v>
      </c>
      <c r="G420" t="str">
        <f>"32210"</f>
        <v>32210</v>
      </c>
    </row>
    <row r="421" spans="1:7" x14ac:dyDescent="0.25">
      <c r="A421" t="s">
        <v>412</v>
      </c>
      <c r="B421" t="s">
        <v>1051</v>
      </c>
      <c r="C421" t="s">
        <v>1286</v>
      </c>
      <c r="D421" t="s">
        <v>1458</v>
      </c>
      <c r="E421" t="str">
        <f>"32218"</f>
        <v>32218</v>
      </c>
      <c r="F421" t="s">
        <v>1051</v>
      </c>
      <c r="G421" t="str">
        <f>"32218"</f>
        <v>32218</v>
      </c>
    </row>
    <row r="422" spans="1:7" x14ac:dyDescent="0.25">
      <c r="A422" t="s">
        <v>413</v>
      </c>
      <c r="B422" t="s">
        <v>1052</v>
      </c>
      <c r="C422" t="s">
        <v>1407</v>
      </c>
      <c r="D422" t="s">
        <v>1462</v>
      </c>
      <c r="E422" t="str">
        <f>"11787"</f>
        <v>11787</v>
      </c>
      <c r="F422" t="s">
        <v>1906</v>
      </c>
      <c r="G422" t="str">
        <f>"32207"</f>
        <v>32207</v>
      </c>
    </row>
    <row r="423" spans="1:7" x14ac:dyDescent="0.25">
      <c r="A423" t="s">
        <v>414</v>
      </c>
      <c r="B423" t="s">
        <v>1053</v>
      </c>
      <c r="C423" t="s">
        <v>1286</v>
      </c>
      <c r="D423" t="s">
        <v>1458</v>
      </c>
      <c r="E423" t="str">
        <f>"32217"</f>
        <v>32217</v>
      </c>
      <c r="F423" t="s">
        <v>1907</v>
      </c>
      <c r="G423" t="str">
        <f>"32216"</f>
        <v>32216</v>
      </c>
    </row>
    <row r="424" spans="1:7" x14ac:dyDescent="0.25">
      <c r="A424" t="s">
        <v>415</v>
      </c>
      <c r="B424" t="s">
        <v>1054</v>
      </c>
      <c r="C424" t="s">
        <v>1286</v>
      </c>
      <c r="D424" t="s">
        <v>1458</v>
      </c>
      <c r="E424" t="str">
        <f>"32246"</f>
        <v>32246</v>
      </c>
      <c r="F424" t="s">
        <v>1908</v>
      </c>
      <c r="G424" t="str">
        <f>"32208"</f>
        <v>32208</v>
      </c>
    </row>
    <row r="425" spans="1:7" x14ac:dyDescent="0.25">
      <c r="A425" t="s">
        <v>416</v>
      </c>
      <c r="B425" t="s">
        <v>1055</v>
      </c>
      <c r="C425" t="s">
        <v>1286</v>
      </c>
      <c r="D425" t="s">
        <v>1458</v>
      </c>
      <c r="E425" t="str">
        <f>"32256"</f>
        <v>32256</v>
      </c>
      <c r="F425" t="s">
        <v>1909</v>
      </c>
      <c r="G425" t="str">
        <f>"32207"</f>
        <v>32207</v>
      </c>
    </row>
    <row r="426" spans="1:7" x14ac:dyDescent="0.25">
      <c r="A426" t="s">
        <v>417</v>
      </c>
      <c r="B426" t="s">
        <v>1056</v>
      </c>
      <c r="C426" t="s">
        <v>1286</v>
      </c>
      <c r="D426" t="s">
        <v>1458</v>
      </c>
      <c r="E426" t="str">
        <f>"32224"</f>
        <v>32224</v>
      </c>
      <c r="F426" t="s">
        <v>1910</v>
      </c>
      <c r="G426" t="str">
        <f>"32216"</f>
        <v>32216</v>
      </c>
    </row>
    <row r="427" spans="1:7" x14ac:dyDescent="0.25">
      <c r="A427" t="s">
        <v>298</v>
      </c>
      <c r="B427" t="s">
        <v>1057</v>
      </c>
      <c r="C427" t="s">
        <v>1408</v>
      </c>
      <c r="D427" t="s">
        <v>1463</v>
      </c>
      <c r="E427" t="str">
        <f>"94505"</f>
        <v>94505</v>
      </c>
      <c r="F427" t="s">
        <v>1911</v>
      </c>
      <c r="G427" t="str">
        <f>"32210"</f>
        <v>32210</v>
      </c>
    </row>
    <row r="428" spans="1:7" x14ac:dyDescent="0.25">
      <c r="A428" t="s">
        <v>418</v>
      </c>
      <c r="B428" t="s">
        <v>1058</v>
      </c>
      <c r="C428" t="s">
        <v>1286</v>
      </c>
      <c r="D428" t="s">
        <v>1458</v>
      </c>
      <c r="E428" t="str">
        <f>"32258"</f>
        <v>32258</v>
      </c>
      <c r="F428" t="s">
        <v>1912</v>
      </c>
      <c r="G428" t="str">
        <f>"32207"</f>
        <v>32207</v>
      </c>
    </row>
    <row r="429" spans="1:7" x14ac:dyDescent="0.25">
      <c r="A429" t="s">
        <v>419</v>
      </c>
      <c r="B429" t="s">
        <v>1059</v>
      </c>
      <c r="C429" t="s">
        <v>1409</v>
      </c>
      <c r="D429" t="s">
        <v>1470</v>
      </c>
      <c r="E429" t="str">
        <f>"31562"</f>
        <v>31562</v>
      </c>
      <c r="F429" t="s">
        <v>1913</v>
      </c>
      <c r="G429" t="str">
        <f>"32216"</f>
        <v>32216</v>
      </c>
    </row>
    <row r="430" spans="1:7" x14ac:dyDescent="0.25">
      <c r="A430" t="s">
        <v>420</v>
      </c>
      <c r="B430" t="s">
        <v>1060</v>
      </c>
      <c r="C430" t="s">
        <v>1286</v>
      </c>
      <c r="D430" t="s">
        <v>1458</v>
      </c>
      <c r="E430" t="str">
        <f>"32216"</f>
        <v>32216</v>
      </c>
      <c r="F430" t="s">
        <v>1914</v>
      </c>
      <c r="G430" t="str">
        <f>"32208"</f>
        <v>32208</v>
      </c>
    </row>
    <row r="431" spans="1:7" x14ac:dyDescent="0.25">
      <c r="A431" t="s">
        <v>421</v>
      </c>
      <c r="B431" t="s">
        <v>1061</v>
      </c>
      <c r="C431" t="s">
        <v>1410</v>
      </c>
      <c r="D431" t="s">
        <v>1471</v>
      </c>
      <c r="E431" t="str">
        <f>"07202"</f>
        <v>07202</v>
      </c>
      <c r="F431" t="s">
        <v>1915</v>
      </c>
      <c r="G431" t="str">
        <f>"32210"</f>
        <v>32210</v>
      </c>
    </row>
    <row r="432" spans="1:7" x14ac:dyDescent="0.25">
      <c r="A432" t="s">
        <v>422</v>
      </c>
      <c r="B432" t="s">
        <v>1062</v>
      </c>
      <c r="C432" t="s">
        <v>1286</v>
      </c>
      <c r="D432" t="s">
        <v>1458</v>
      </c>
      <c r="E432" t="str">
        <f>"32218"</f>
        <v>32218</v>
      </c>
      <c r="F432" t="s">
        <v>1916</v>
      </c>
      <c r="G432" t="str">
        <f>"32218"</f>
        <v>32218</v>
      </c>
    </row>
    <row r="433" spans="1:7" x14ac:dyDescent="0.25">
      <c r="A433" t="s">
        <v>423</v>
      </c>
      <c r="B433" t="s">
        <v>1063</v>
      </c>
      <c r="C433" t="s">
        <v>1368</v>
      </c>
      <c r="D433" t="s">
        <v>1458</v>
      </c>
      <c r="E433" t="str">
        <f>"33020"</f>
        <v>33020</v>
      </c>
      <c r="F433" t="s">
        <v>1917</v>
      </c>
      <c r="G433" t="str">
        <f>"32244"</f>
        <v>32244</v>
      </c>
    </row>
    <row r="434" spans="1:7" x14ac:dyDescent="0.25">
      <c r="A434" t="s">
        <v>424</v>
      </c>
      <c r="B434" t="s">
        <v>1064</v>
      </c>
      <c r="C434" t="s">
        <v>1286</v>
      </c>
      <c r="D434" t="s">
        <v>1458</v>
      </c>
      <c r="E434" t="str">
        <f>"32210"</f>
        <v>32210</v>
      </c>
      <c r="F434" t="s">
        <v>1918</v>
      </c>
      <c r="G434" t="str">
        <f>"32244"</f>
        <v>32244</v>
      </c>
    </row>
    <row r="435" spans="1:7" x14ac:dyDescent="0.25">
      <c r="A435" t="s">
        <v>425</v>
      </c>
      <c r="B435" t="s">
        <v>1065</v>
      </c>
      <c r="C435" t="s">
        <v>1411</v>
      </c>
      <c r="D435" t="s">
        <v>1463</v>
      </c>
      <c r="E435" t="str">
        <f>"92069"</f>
        <v>92069</v>
      </c>
      <c r="F435" t="s">
        <v>1919</v>
      </c>
      <c r="G435" t="str">
        <f>"32277"</f>
        <v>32277</v>
      </c>
    </row>
    <row r="436" spans="1:7" x14ac:dyDescent="0.25">
      <c r="A436" t="s">
        <v>426</v>
      </c>
      <c r="B436" t="s">
        <v>1066</v>
      </c>
      <c r="C436" t="s">
        <v>1412</v>
      </c>
      <c r="D436" t="s">
        <v>1463</v>
      </c>
      <c r="E436" t="str">
        <f>"94105"</f>
        <v>94105</v>
      </c>
      <c r="F436" t="s">
        <v>1920</v>
      </c>
      <c r="G436" t="str">
        <f>"32233"</f>
        <v>32233</v>
      </c>
    </row>
    <row r="437" spans="1:7" x14ac:dyDescent="0.25">
      <c r="A437" t="s">
        <v>427</v>
      </c>
      <c r="B437" t="s">
        <v>1067</v>
      </c>
      <c r="C437" t="s">
        <v>1286</v>
      </c>
      <c r="D437" t="s">
        <v>1458</v>
      </c>
      <c r="E437" t="str">
        <f>"32259"</f>
        <v>32259</v>
      </c>
      <c r="F437" t="s">
        <v>1921</v>
      </c>
      <c r="G437" t="str">
        <f>"32210"</f>
        <v>32210</v>
      </c>
    </row>
    <row r="438" spans="1:7" x14ac:dyDescent="0.25">
      <c r="A438" t="s">
        <v>428</v>
      </c>
      <c r="B438" t="s">
        <v>1068</v>
      </c>
      <c r="C438" t="s">
        <v>1306</v>
      </c>
      <c r="D438" t="s">
        <v>1485</v>
      </c>
      <c r="E438" t="str">
        <f>"21122"</f>
        <v>21122</v>
      </c>
      <c r="F438" t="s">
        <v>1922</v>
      </c>
      <c r="G438" t="str">
        <f>"32244"</f>
        <v>32244</v>
      </c>
    </row>
    <row r="439" spans="1:7" x14ac:dyDescent="0.25">
      <c r="A439" t="s">
        <v>429</v>
      </c>
      <c r="B439" t="s">
        <v>1069</v>
      </c>
      <c r="C439" t="s">
        <v>1357</v>
      </c>
      <c r="D439" t="s">
        <v>1466</v>
      </c>
      <c r="E439" t="str">
        <f>"60601"</f>
        <v>60601</v>
      </c>
      <c r="F439" t="s">
        <v>1923</v>
      </c>
      <c r="G439" t="str">
        <f>"32205"</f>
        <v>32205</v>
      </c>
    </row>
    <row r="440" spans="1:7" x14ac:dyDescent="0.25">
      <c r="A440" t="s">
        <v>430</v>
      </c>
      <c r="B440" t="s">
        <v>1070</v>
      </c>
      <c r="C440" t="s">
        <v>1286</v>
      </c>
      <c r="D440" t="s">
        <v>1458</v>
      </c>
      <c r="E440" t="str">
        <f>"32216"</f>
        <v>32216</v>
      </c>
      <c r="F440" t="s">
        <v>1924</v>
      </c>
      <c r="G440" t="str">
        <f>"32211"</f>
        <v>32211</v>
      </c>
    </row>
    <row r="441" spans="1:7" x14ac:dyDescent="0.25">
      <c r="A441" t="s">
        <v>431</v>
      </c>
      <c r="B441" t="s">
        <v>1071</v>
      </c>
      <c r="C441" t="s">
        <v>1286</v>
      </c>
      <c r="D441" t="s">
        <v>1458</v>
      </c>
      <c r="E441" t="str">
        <f>"32209"</f>
        <v>32209</v>
      </c>
      <c r="F441" t="s">
        <v>1925</v>
      </c>
      <c r="G441" t="str">
        <f>"32209"</f>
        <v>32209</v>
      </c>
    </row>
    <row r="442" spans="1:7" x14ac:dyDescent="0.25">
      <c r="A442" t="s">
        <v>432</v>
      </c>
      <c r="B442" t="s">
        <v>1072</v>
      </c>
      <c r="C442" t="s">
        <v>1286</v>
      </c>
      <c r="D442" t="s">
        <v>1458</v>
      </c>
      <c r="E442" t="str">
        <f>"32207"</f>
        <v>32207</v>
      </c>
      <c r="F442" t="s">
        <v>1926</v>
      </c>
      <c r="G442" t="str">
        <f>"32218"</f>
        <v>32218</v>
      </c>
    </row>
    <row r="443" spans="1:7" x14ac:dyDescent="0.25">
      <c r="A443" t="s">
        <v>433</v>
      </c>
      <c r="B443" t="s">
        <v>1073</v>
      </c>
      <c r="C443" t="s">
        <v>1286</v>
      </c>
      <c r="D443" t="s">
        <v>1458</v>
      </c>
      <c r="E443" t="str">
        <f>"32220"</f>
        <v>32220</v>
      </c>
      <c r="F443" t="s">
        <v>1927</v>
      </c>
      <c r="G443" t="str">
        <f>"32211"</f>
        <v>32211</v>
      </c>
    </row>
    <row r="444" spans="1:7" x14ac:dyDescent="0.25">
      <c r="A444" t="s">
        <v>434</v>
      </c>
      <c r="B444" t="s">
        <v>1074</v>
      </c>
      <c r="C444" t="s">
        <v>1413</v>
      </c>
      <c r="D444" t="s">
        <v>1467</v>
      </c>
      <c r="E444" t="str">
        <f>"76841"</f>
        <v>76841</v>
      </c>
      <c r="F444" t="s">
        <v>1928</v>
      </c>
      <c r="G444" t="str">
        <f>"32221"</f>
        <v>32221</v>
      </c>
    </row>
    <row r="445" spans="1:7" x14ac:dyDescent="0.25">
      <c r="A445" t="s">
        <v>435</v>
      </c>
      <c r="B445" t="s">
        <v>1075</v>
      </c>
      <c r="C445" t="s">
        <v>1296</v>
      </c>
      <c r="D445" t="s">
        <v>1458</v>
      </c>
      <c r="E445" t="str">
        <f>"33169"</f>
        <v>33169</v>
      </c>
      <c r="F445" t="s">
        <v>1929</v>
      </c>
      <c r="G445" t="str">
        <f>"32254"</f>
        <v>32254</v>
      </c>
    </row>
    <row r="446" spans="1:7" x14ac:dyDescent="0.25">
      <c r="A446" t="s">
        <v>436</v>
      </c>
      <c r="B446" t="s">
        <v>1076</v>
      </c>
      <c r="C446" t="s">
        <v>1310</v>
      </c>
      <c r="D446" t="s">
        <v>1458</v>
      </c>
      <c r="E446" t="str">
        <f>"33161"</f>
        <v>33161</v>
      </c>
      <c r="F446" t="s">
        <v>1930</v>
      </c>
      <c r="G446" t="str">
        <f>"32208"</f>
        <v>32208</v>
      </c>
    </row>
    <row r="447" spans="1:7" x14ac:dyDescent="0.25">
      <c r="A447" t="s">
        <v>437</v>
      </c>
      <c r="B447" t="s">
        <v>1077</v>
      </c>
      <c r="C447" t="s">
        <v>1286</v>
      </c>
      <c r="D447" t="s">
        <v>1458</v>
      </c>
      <c r="E447" t="str">
        <f>"32258"</f>
        <v>32258</v>
      </c>
      <c r="F447" t="s">
        <v>1931</v>
      </c>
      <c r="G447" t="str">
        <f>"32258"</f>
        <v>32258</v>
      </c>
    </row>
    <row r="448" spans="1:7" x14ac:dyDescent="0.25">
      <c r="A448" t="s">
        <v>438</v>
      </c>
      <c r="B448" t="s">
        <v>1078</v>
      </c>
      <c r="C448" t="s">
        <v>1286</v>
      </c>
      <c r="D448" t="s">
        <v>1458</v>
      </c>
      <c r="E448" t="str">
        <f>"32226"</f>
        <v>32226</v>
      </c>
      <c r="F448" t="s">
        <v>1932</v>
      </c>
      <c r="G448" t="str">
        <f>"32226"</f>
        <v>32226</v>
      </c>
    </row>
    <row r="449" spans="1:7" x14ac:dyDescent="0.25">
      <c r="A449" t="s">
        <v>439</v>
      </c>
      <c r="B449" t="s">
        <v>1079</v>
      </c>
      <c r="C449" t="s">
        <v>1286</v>
      </c>
      <c r="D449" t="s">
        <v>1458</v>
      </c>
      <c r="E449" t="str">
        <f>"32244"</f>
        <v>32244</v>
      </c>
      <c r="F449" t="s">
        <v>1933</v>
      </c>
      <c r="G449" t="str">
        <f>"32244"</f>
        <v>32244</v>
      </c>
    </row>
    <row r="450" spans="1:7" x14ac:dyDescent="0.25">
      <c r="A450" t="s">
        <v>440</v>
      </c>
      <c r="B450" t="s">
        <v>1080</v>
      </c>
      <c r="C450" t="s">
        <v>1414</v>
      </c>
      <c r="D450" t="s">
        <v>1471</v>
      </c>
      <c r="E450" t="str">
        <f>"07719"</f>
        <v>07719</v>
      </c>
      <c r="F450" t="s">
        <v>1934</v>
      </c>
      <c r="G450" t="str">
        <f>"32219"</f>
        <v>32219</v>
      </c>
    </row>
    <row r="451" spans="1:7" x14ac:dyDescent="0.25">
      <c r="A451" t="s">
        <v>441</v>
      </c>
      <c r="B451" t="s">
        <v>1081</v>
      </c>
      <c r="C451" t="s">
        <v>1327</v>
      </c>
      <c r="D451" t="s">
        <v>1458</v>
      </c>
      <c r="E451" t="str">
        <f>"32068"</f>
        <v>32068</v>
      </c>
      <c r="F451" t="s">
        <v>1935</v>
      </c>
      <c r="G451" t="str">
        <f>"32244"</f>
        <v>32244</v>
      </c>
    </row>
    <row r="452" spans="1:7" x14ac:dyDescent="0.25">
      <c r="A452" t="s">
        <v>442</v>
      </c>
      <c r="B452" t="s">
        <v>1082</v>
      </c>
      <c r="C452" t="s">
        <v>1292</v>
      </c>
      <c r="D452" t="s">
        <v>1459</v>
      </c>
      <c r="E452" t="str">
        <f>"85254"</f>
        <v>85254</v>
      </c>
      <c r="F452" t="s">
        <v>1936</v>
      </c>
      <c r="G452" t="str">
        <f>"32254"</f>
        <v>32254</v>
      </c>
    </row>
    <row r="453" spans="1:7" x14ac:dyDescent="0.25">
      <c r="A453" t="s">
        <v>443</v>
      </c>
      <c r="B453" t="s">
        <v>1083</v>
      </c>
      <c r="C453" t="s">
        <v>1415</v>
      </c>
      <c r="D453" t="s">
        <v>1458</v>
      </c>
      <c r="E453" t="str">
        <f>"33160"</f>
        <v>33160</v>
      </c>
      <c r="F453" t="s">
        <v>1937</v>
      </c>
      <c r="G453" t="str">
        <f>"32209"</f>
        <v>32209</v>
      </c>
    </row>
    <row r="454" spans="1:7" x14ac:dyDescent="0.25">
      <c r="A454" t="s">
        <v>444</v>
      </c>
      <c r="B454" t="s">
        <v>1084</v>
      </c>
      <c r="C454" t="s">
        <v>1286</v>
      </c>
      <c r="D454" t="s">
        <v>1458</v>
      </c>
      <c r="E454" t="str">
        <f>"32233"</f>
        <v>32233</v>
      </c>
      <c r="F454" t="s">
        <v>1938</v>
      </c>
      <c r="G454" t="str">
        <f>"32233"</f>
        <v>32233</v>
      </c>
    </row>
    <row r="455" spans="1:7" x14ac:dyDescent="0.25">
      <c r="A455" t="s">
        <v>445</v>
      </c>
      <c r="B455" t="s">
        <v>1085</v>
      </c>
      <c r="C455" t="s">
        <v>1286</v>
      </c>
      <c r="D455" t="s">
        <v>1458</v>
      </c>
      <c r="E455" t="str">
        <f>"32224"</f>
        <v>32224</v>
      </c>
      <c r="F455" t="s">
        <v>1939</v>
      </c>
      <c r="G455" t="str">
        <f>"32216"</f>
        <v>32216</v>
      </c>
    </row>
    <row r="456" spans="1:7" x14ac:dyDescent="0.25">
      <c r="A456" t="s">
        <v>446</v>
      </c>
      <c r="B456" t="s">
        <v>1086</v>
      </c>
      <c r="C456" t="s">
        <v>1286</v>
      </c>
      <c r="D456" t="s">
        <v>1458</v>
      </c>
      <c r="E456" t="str">
        <f>"32257"</f>
        <v>32257</v>
      </c>
      <c r="F456" t="s">
        <v>1940</v>
      </c>
      <c r="G456" t="str">
        <f>"32223"</f>
        <v>32223</v>
      </c>
    </row>
    <row r="457" spans="1:7" x14ac:dyDescent="0.25">
      <c r="A457" t="s">
        <v>447</v>
      </c>
      <c r="B457" t="s">
        <v>1087</v>
      </c>
      <c r="C457" t="s">
        <v>1286</v>
      </c>
      <c r="D457" t="s">
        <v>1458</v>
      </c>
      <c r="E457" t="str">
        <f>"32216"</f>
        <v>32216</v>
      </c>
      <c r="F457" t="s">
        <v>1941</v>
      </c>
      <c r="G457" t="str">
        <f>"32224"</f>
        <v>32224</v>
      </c>
    </row>
    <row r="458" spans="1:7" x14ac:dyDescent="0.25">
      <c r="A458" t="s">
        <v>448</v>
      </c>
      <c r="B458" t="s">
        <v>1088</v>
      </c>
      <c r="C458" t="s">
        <v>1286</v>
      </c>
      <c r="D458" t="s">
        <v>1458</v>
      </c>
      <c r="E458" t="str">
        <f>"32210"</f>
        <v>32210</v>
      </c>
      <c r="F458" t="s">
        <v>1942</v>
      </c>
      <c r="G458" t="str">
        <f>"32210"</f>
        <v>32210</v>
      </c>
    </row>
    <row r="459" spans="1:7" x14ac:dyDescent="0.25">
      <c r="A459" t="s">
        <v>449</v>
      </c>
      <c r="B459" t="s">
        <v>1089</v>
      </c>
      <c r="C459" t="s">
        <v>1416</v>
      </c>
      <c r="D459" t="s">
        <v>1458</v>
      </c>
      <c r="E459" t="str">
        <f>"33770"</f>
        <v>33770</v>
      </c>
      <c r="F459" t="s">
        <v>1943</v>
      </c>
      <c r="G459" t="str">
        <f>"32254"</f>
        <v>32254</v>
      </c>
    </row>
    <row r="460" spans="1:7" x14ac:dyDescent="0.25">
      <c r="A460" t="s">
        <v>450</v>
      </c>
      <c r="B460" t="s">
        <v>1090</v>
      </c>
      <c r="C460" t="s">
        <v>1286</v>
      </c>
      <c r="D460" t="s">
        <v>1458</v>
      </c>
      <c r="E460" t="str">
        <f>"32224"</f>
        <v>32224</v>
      </c>
      <c r="F460" t="s">
        <v>1944</v>
      </c>
      <c r="G460" t="str">
        <f>"32224"</f>
        <v>32224</v>
      </c>
    </row>
    <row r="461" spans="1:7" x14ac:dyDescent="0.25">
      <c r="A461" t="s">
        <v>451</v>
      </c>
      <c r="B461" t="s">
        <v>1091</v>
      </c>
      <c r="C461" t="s">
        <v>1291</v>
      </c>
      <c r="D461" t="s">
        <v>1458</v>
      </c>
      <c r="E461" t="str">
        <f>"32003"</f>
        <v>32003</v>
      </c>
      <c r="F461" t="s">
        <v>1945</v>
      </c>
      <c r="G461" t="str">
        <f>"32210"</f>
        <v>32210</v>
      </c>
    </row>
    <row r="462" spans="1:7" x14ac:dyDescent="0.25">
      <c r="A462" t="s">
        <v>452</v>
      </c>
      <c r="B462" t="s">
        <v>1092</v>
      </c>
      <c r="C462" t="s">
        <v>1286</v>
      </c>
      <c r="D462" t="s">
        <v>1458</v>
      </c>
      <c r="E462" t="str">
        <f>"32246"</f>
        <v>32246</v>
      </c>
      <c r="F462" t="s">
        <v>1092</v>
      </c>
      <c r="G462" t="str">
        <f>"32246"</f>
        <v>32246</v>
      </c>
    </row>
    <row r="463" spans="1:7" x14ac:dyDescent="0.25">
      <c r="A463" t="s">
        <v>453</v>
      </c>
      <c r="B463" t="s">
        <v>1093</v>
      </c>
      <c r="C463" t="s">
        <v>1286</v>
      </c>
      <c r="D463" t="s">
        <v>1458</v>
      </c>
      <c r="E463" t="str">
        <f>"32205"</f>
        <v>32205</v>
      </c>
      <c r="F463" t="s">
        <v>1946</v>
      </c>
      <c r="G463" t="str">
        <f>"32210"</f>
        <v>32210</v>
      </c>
    </row>
    <row r="464" spans="1:7" x14ac:dyDescent="0.25">
      <c r="A464" t="s">
        <v>454</v>
      </c>
      <c r="B464" t="s">
        <v>1094</v>
      </c>
      <c r="C464" t="s">
        <v>1286</v>
      </c>
      <c r="D464" t="s">
        <v>1458</v>
      </c>
      <c r="E464" t="str">
        <f>"32246"</f>
        <v>32246</v>
      </c>
      <c r="F464" t="s">
        <v>1947</v>
      </c>
      <c r="G464" t="str">
        <f>"32246"</f>
        <v>32246</v>
      </c>
    </row>
    <row r="465" spans="1:7" x14ac:dyDescent="0.25">
      <c r="A465" t="s">
        <v>455</v>
      </c>
      <c r="B465" t="s">
        <v>1095</v>
      </c>
      <c r="C465" t="s">
        <v>1286</v>
      </c>
      <c r="D465" t="s">
        <v>1458</v>
      </c>
      <c r="E465" t="str">
        <f>"32218"</f>
        <v>32218</v>
      </c>
      <c r="F465" t="s">
        <v>1948</v>
      </c>
      <c r="G465" t="str">
        <f>"32209"</f>
        <v>32209</v>
      </c>
    </row>
    <row r="466" spans="1:7" x14ac:dyDescent="0.25">
      <c r="A466" t="s">
        <v>456</v>
      </c>
      <c r="B466" t="s">
        <v>1096</v>
      </c>
      <c r="C466" t="s">
        <v>1286</v>
      </c>
      <c r="D466" t="s">
        <v>1458</v>
      </c>
      <c r="E466" t="str">
        <f>"32208"</f>
        <v>32208</v>
      </c>
      <c r="F466" t="s">
        <v>1949</v>
      </c>
      <c r="G466" t="str">
        <f>"32208"</f>
        <v>32208</v>
      </c>
    </row>
    <row r="467" spans="1:7" x14ac:dyDescent="0.25">
      <c r="A467" t="s">
        <v>457</v>
      </c>
      <c r="B467" t="s">
        <v>1097</v>
      </c>
      <c r="C467" t="s">
        <v>1286</v>
      </c>
      <c r="D467" t="s">
        <v>1458</v>
      </c>
      <c r="E467" t="str">
        <f>"32205"</f>
        <v>32205</v>
      </c>
      <c r="F467" t="s">
        <v>1950</v>
      </c>
      <c r="G467" t="str">
        <f>"32205"</f>
        <v>32205</v>
      </c>
    </row>
    <row r="468" spans="1:7" x14ac:dyDescent="0.25">
      <c r="A468" t="s">
        <v>458</v>
      </c>
      <c r="B468" t="s">
        <v>1098</v>
      </c>
      <c r="C468" t="s">
        <v>1286</v>
      </c>
      <c r="D468" t="s">
        <v>1458</v>
      </c>
      <c r="E468" t="str">
        <f>"32210"</f>
        <v>32210</v>
      </c>
      <c r="F468" t="s">
        <v>1951</v>
      </c>
      <c r="G468" t="str">
        <f>"32210"</f>
        <v>32210</v>
      </c>
    </row>
    <row r="469" spans="1:7" x14ac:dyDescent="0.25">
      <c r="A469" t="s">
        <v>459</v>
      </c>
      <c r="B469" t="s">
        <v>1099</v>
      </c>
      <c r="C469" t="s">
        <v>1316</v>
      </c>
      <c r="D469" t="s">
        <v>1458</v>
      </c>
      <c r="E469" t="str">
        <f>"32259"</f>
        <v>32259</v>
      </c>
      <c r="F469" t="s">
        <v>1952</v>
      </c>
      <c r="G469" t="str">
        <f>"32207"</f>
        <v>32207</v>
      </c>
    </row>
    <row r="470" spans="1:7" x14ac:dyDescent="0.25">
      <c r="A470" t="s">
        <v>460</v>
      </c>
      <c r="B470" t="s">
        <v>1100</v>
      </c>
      <c r="C470" t="s">
        <v>1286</v>
      </c>
      <c r="D470" t="s">
        <v>1458</v>
      </c>
      <c r="E470" t="str">
        <f>"32216"</f>
        <v>32216</v>
      </c>
      <c r="F470" t="s">
        <v>1953</v>
      </c>
      <c r="G470" t="str">
        <f>"32211"</f>
        <v>32211</v>
      </c>
    </row>
    <row r="471" spans="1:7" x14ac:dyDescent="0.25">
      <c r="A471" t="s">
        <v>461</v>
      </c>
      <c r="B471" t="s">
        <v>1101</v>
      </c>
      <c r="C471" t="s">
        <v>1286</v>
      </c>
      <c r="D471" t="s">
        <v>1458</v>
      </c>
      <c r="E471" t="str">
        <f>"32257"</f>
        <v>32257</v>
      </c>
      <c r="F471" t="s">
        <v>1954</v>
      </c>
      <c r="G471" t="str">
        <f>"32225"</f>
        <v>32225</v>
      </c>
    </row>
    <row r="472" spans="1:7" x14ac:dyDescent="0.25">
      <c r="A472" t="s">
        <v>462</v>
      </c>
      <c r="B472" t="s">
        <v>1102</v>
      </c>
      <c r="C472" t="s">
        <v>1286</v>
      </c>
      <c r="D472" t="s">
        <v>1458</v>
      </c>
      <c r="E472" t="str">
        <f>"32246"</f>
        <v>32246</v>
      </c>
      <c r="F472" t="s">
        <v>1955</v>
      </c>
      <c r="G472" t="str">
        <f>"32246"</f>
        <v>32246</v>
      </c>
    </row>
    <row r="473" spans="1:7" x14ac:dyDescent="0.25">
      <c r="A473" t="s">
        <v>463</v>
      </c>
      <c r="B473" t="s">
        <v>1103</v>
      </c>
      <c r="C473" t="s">
        <v>1417</v>
      </c>
      <c r="D473" t="s">
        <v>1470</v>
      </c>
      <c r="E473" t="str">
        <f>"30080"</f>
        <v>30080</v>
      </c>
      <c r="F473" t="s">
        <v>1956</v>
      </c>
      <c r="G473" t="str">
        <f>"32233"</f>
        <v>32233</v>
      </c>
    </row>
    <row r="474" spans="1:7" x14ac:dyDescent="0.25">
      <c r="A474" t="s">
        <v>388</v>
      </c>
      <c r="B474" t="s">
        <v>1104</v>
      </c>
      <c r="C474" t="s">
        <v>1370</v>
      </c>
      <c r="D474" t="s">
        <v>1463</v>
      </c>
      <c r="E474" t="str">
        <f>"91301"</f>
        <v>91301</v>
      </c>
      <c r="F474" t="s">
        <v>1957</v>
      </c>
      <c r="G474" t="str">
        <f>"32225"</f>
        <v>32225</v>
      </c>
    </row>
    <row r="475" spans="1:7" x14ac:dyDescent="0.25">
      <c r="A475" t="s">
        <v>464</v>
      </c>
      <c r="B475" t="s">
        <v>1105</v>
      </c>
      <c r="C475" t="s">
        <v>1418</v>
      </c>
      <c r="D475" t="s">
        <v>1458</v>
      </c>
      <c r="E475" t="str">
        <f>"33411"</f>
        <v>33411</v>
      </c>
      <c r="F475" t="s">
        <v>1958</v>
      </c>
      <c r="G475" t="str">
        <f>"32209"</f>
        <v>32209</v>
      </c>
    </row>
    <row r="476" spans="1:7" x14ac:dyDescent="0.25">
      <c r="A476" t="s">
        <v>465</v>
      </c>
      <c r="B476" t="s">
        <v>1106</v>
      </c>
      <c r="C476" t="s">
        <v>1286</v>
      </c>
      <c r="D476" t="s">
        <v>1458</v>
      </c>
      <c r="E476" t="str">
        <f>"32246"</f>
        <v>32246</v>
      </c>
      <c r="F476" t="s">
        <v>1959</v>
      </c>
      <c r="G476" t="str">
        <f>"32246"</f>
        <v>32246</v>
      </c>
    </row>
    <row r="477" spans="1:7" x14ac:dyDescent="0.25">
      <c r="A477" t="s">
        <v>466</v>
      </c>
      <c r="B477" t="s">
        <v>1107</v>
      </c>
      <c r="C477" t="s">
        <v>1286</v>
      </c>
      <c r="D477" t="s">
        <v>1458</v>
      </c>
      <c r="E477" t="str">
        <f>"32207"</f>
        <v>32207</v>
      </c>
      <c r="F477" t="s">
        <v>1960</v>
      </c>
      <c r="G477" t="str">
        <f>"32234"</f>
        <v>32234</v>
      </c>
    </row>
    <row r="478" spans="1:7" x14ac:dyDescent="0.25">
      <c r="A478" t="s">
        <v>467</v>
      </c>
      <c r="B478" t="s">
        <v>1108</v>
      </c>
      <c r="C478" t="s">
        <v>1286</v>
      </c>
      <c r="D478" t="s">
        <v>1458</v>
      </c>
      <c r="E478" t="str">
        <f>"32220"</f>
        <v>32220</v>
      </c>
      <c r="F478" t="s">
        <v>1961</v>
      </c>
      <c r="G478" t="str">
        <f>"32220"</f>
        <v>32220</v>
      </c>
    </row>
    <row r="479" spans="1:7" x14ac:dyDescent="0.25">
      <c r="A479" t="s">
        <v>468</v>
      </c>
      <c r="B479" t="s">
        <v>1109</v>
      </c>
      <c r="C479" t="s">
        <v>1286</v>
      </c>
      <c r="D479" t="s">
        <v>1458</v>
      </c>
      <c r="E479" t="str">
        <f>"32246"</f>
        <v>32246</v>
      </c>
      <c r="F479" t="s">
        <v>1962</v>
      </c>
      <c r="G479" t="str">
        <f>"32246"</f>
        <v>32246</v>
      </c>
    </row>
    <row r="480" spans="1:7" x14ac:dyDescent="0.25">
      <c r="A480" t="s">
        <v>469</v>
      </c>
      <c r="B480" t="s">
        <v>1110</v>
      </c>
      <c r="C480" t="s">
        <v>1419</v>
      </c>
      <c r="D480" t="s">
        <v>1467</v>
      </c>
      <c r="E480" t="str">
        <f>"75154"</f>
        <v>75154</v>
      </c>
      <c r="F480" t="s">
        <v>1963</v>
      </c>
      <c r="G480" t="str">
        <f>"32208"</f>
        <v>32208</v>
      </c>
    </row>
    <row r="481" spans="1:7" x14ac:dyDescent="0.25">
      <c r="A481" t="s">
        <v>168</v>
      </c>
      <c r="B481" t="s">
        <v>1111</v>
      </c>
      <c r="C481" t="s">
        <v>1307</v>
      </c>
      <c r="D481" t="s">
        <v>1467</v>
      </c>
      <c r="E481" t="str">
        <f>"78746"</f>
        <v>78746</v>
      </c>
      <c r="F481" t="s">
        <v>1964</v>
      </c>
      <c r="G481" t="str">
        <f>"32210"</f>
        <v>32210</v>
      </c>
    </row>
    <row r="482" spans="1:7" x14ac:dyDescent="0.25">
      <c r="A482" t="s">
        <v>168</v>
      </c>
      <c r="B482" t="s">
        <v>1112</v>
      </c>
      <c r="C482" t="s">
        <v>1307</v>
      </c>
      <c r="D482" t="s">
        <v>1467</v>
      </c>
      <c r="E482" t="str">
        <f>"78746"</f>
        <v>78746</v>
      </c>
      <c r="F482" t="s">
        <v>1965</v>
      </c>
      <c r="G482" t="str">
        <f>"32210"</f>
        <v>32210</v>
      </c>
    </row>
    <row r="483" spans="1:7" x14ac:dyDescent="0.25">
      <c r="A483" t="s">
        <v>470</v>
      </c>
      <c r="B483" t="s">
        <v>1113</v>
      </c>
      <c r="C483" t="s">
        <v>1286</v>
      </c>
      <c r="D483" t="s">
        <v>1458</v>
      </c>
      <c r="E483" t="str">
        <f>"32223"</f>
        <v>32223</v>
      </c>
      <c r="F483" t="s">
        <v>1966</v>
      </c>
      <c r="G483" t="str">
        <f>"32219"</f>
        <v>32219</v>
      </c>
    </row>
    <row r="484" spans="1:7" x14ac:dyDescent="0.25">
      <c r="A484" t="s">
        <v>471</v>
      </c>
      <c r="B484" t="s">
        <v>1114</v>
      </c>
      <c r="C484" t="s">
        <v>1286</v>
      </c>
      <c r="D484" t="s">
        <v>1458</v>
      </c>
      <c r="E484" t="str">
        <f>"32207"</f>
        <v>32207</v>
      </c>
      <c r="F484" t="s">
        <v>1967</v>
      </c>
      <c r="G484" t="str">
        <f>"32207"</f>
        <v>32207</v>
      </c>
    </row>
    <row r="485" spans="1:7" x14ac:dyDescent="0.25">
      <c r="A485" t="s">
        <v>472</v>
      </c>
      <c r="B485" t="s">
        <v>1115</v>
      </c>
      <c r="C485" t="s">
        <v>1286</v>
      </c>
      <c r="D485" t="s">
        <v>1458</v>
      </c>
      <c r="E485" t="str">
        <f>"32277"</f>
        <v>32277</v>
      </c>
      <c r="F485" t="s">
        <v>1968</v>
      </c>
      <c r="G485" t="str">
        <f>"32277"</f>
        <v>32277</v>
      </c>
    </row>
    <row r="486" spans="1:7" x14ac:dyDescent="0.25">
      <c r="A486" t="s">
        <v>473</v>
      </c>
      <c r="B486" t="s">
        <v>1116</v>
      </c>
      <c r="C486" t="s">
        <v>1420</v>
      </c>
      <c r="D486" t="s">
        <v>1474</v>
      </c>
      <c r="E486" t="str">
        <f>"22191"</f>
        <v>22191</v>
      </c>
      <c r="F486" t="s">
        <v>1969</v>
      </c>
      <c r="G486" t="str">
        <f>"32209"</f>
        <v>32209</v>
      </c>
    </row>
    <row r="487" spans="1:7" x14ac:dyDescent="0.25">
      <c r="A487" t="s">
        <v>474</v>
      </c>
      <c r="B487" t="s">
        <v>1117</v>
      </c>
      <c r="C487" t="s">
        <v>1286</v>
      </c>
      <c r="D487" t="s">
        <v>1458</v>
      </c>
      <c r="E487" t="str">
        <f>"32223"</f>
        <v>32223</v>
      </c>
      <c r="F487" t="s">
        <v>1970</v>
      </c>
      <c r="G487" t="str">
        <f>"32246"</f>
        <v>32246</v>
      </c>
    </row>
    <row r="488" spans="1:7" x14ac:dyDescent="0.25">
      <c r="A488" t="s">
        <v>475</v>
      </c>
      <c r="B488" t="s">
        <v>1118</v>
      </c>
      <c r="C488" t="s">
        <v>1286</v>
      </c>
      <c r="D488" t="s">
        <v>1458</v>
      </c>
      <c r="E488" t="str">
        <f>"32246"</f>
        <v>32246</v>
      </c>
      <c r="F488" t="s">
        <v>1971</v>
      </c>
      <c r="G488" t="str">
        <f>"32216"</f>
        <v>32216</v>
      </c>
    </row>
    <row r="489" spans="1:7" x14ac:dyDescent="0.25">
      <c r="A489" t="s">
        <v>476</v>
      </c>
      <c r="B489" t="s">
        <v>1119</v>
      </c>
      <c r="C489" t="s">
        <v>1421</v>
      </c>
      <c r="D489" t="s">
        <v>1486</v>
      </c>
      <c r="E489" t="str">
        <f>"46375"</f>
        <v>46375</v>
      </c>
      <c r="F489" t="s">
        <v>1972</v>
      </c>
      <c r="G489" t="str">
        <f>"32210"</f>
        <v>32210</v>
      </c>
    </row>
    <row r="490" spans="1:7" x14ac:dyDescent="0.25">
      <c r="A490" t="s">
        <v>477</v>
      </c>
      <c r="B490" t="s">
        <v>1120</v>
      </c>
      <c r="C490" t="s">
        <v>1286</v>
      </c>
      <c r="D490" t="s">
        <v>1458</v>
      </c>
      <c r="E490" t="str">
        <f>"32246"</f>
        <v>32246</v>
      </c>
      <c r="F490" t="s">
        <v>1973</v>
      </c>
      <c r="G490" t="str">
        <f>"32277"</f>
        <v>32277</v>
      </c>
    </row>
    <row r="491" spans="1:7" x14ac:dyDescent="0.25">
      <c r="A491" t="s">
        <v>478</v>
      </c>
      <c r="B491" t="s">
        <v>1121</v>
      </c>
      <c r="C491" t="s">
        <v>1286</v>
      </c>
      <c r="D491" t="s">
        <v>1458</v>
      </c>
      <c r="E491" t="str">
        <f>"32256"</f>
        <v>32256</v>
      </c>
      <c r="F491" t="s">
        <v>1974</v>
      </c>
      <c r="G491" t="str">
        <f>"32217"</f>
        <v>32217</v>
      </c>
    </row>
    <row r="492" spans="1:7" x14ac:dyDescent="0.25">
      <c r="A492" t="s">
        <v>479</v>
      </c>
      <c r="B492" t="s">
        <v>1122</v>
      </c>
      <c r="C492" t="s">
        <v>1286</v>
      </c>
      <c r="D492" t="s">
        <v>1458</v>
      </c>
      <c r="E492" t="str">
        <f>"32210"</f>
        <v>32210</v>
      </c>
      <c r="F492" t="s">
        <v>1975</v>
      </c>
      <c r="G492" t="str">
        <f>"32210"</f>
        <v>32210</v>
      </c>
    </row>
    <row r="493" spans="1:7" x14ac:dyDescent="0.25">
      <c r="A493" t="s">
        <v>480</v>
      </c>
      <c r="B493" t="s">
        <v>1123</v>
      </c>
      <c r="C493" t="s">
        <v>1286</v>
      </c>
      <c r="D493" t="s">
        <v>1458</v>
      </c>
      <c r="E493" t="str">
        <f>"32226"</f>
        <v>32226</v>
      </c>
      <c r="F493" t="s">
        <v>1976</v>
      </c>
      <c r="G493" t="str">
        <f>"32218"</f>
        <v>32218</v>
      </c>
    </row>
    <row r="494" spans="1:7" x14ac:dyDescent="0.25">
      <c r="A494" t="s">
        <v>423</v>
      </c>
      <c r="B494" t="s">
        <v>1124</v>
      </c>
      <c r="C494" t="s">
        <v>1368</v>
      </c>
      <c r="D494" t="s">
        <v>1458</v>
      </c>
      <c r="E494" t="str">
        <f>"33020"</f>
        <v>33020</v>
      </c>
      <c r="F494" t="s">
        <v>1977</v>
      </c>
      <c r="G494" t="str">
        <f>"32210"</f>
        <v>32210</v>
      </c>
    </row>
    <row r="495" spans="1:7" x14ac:dyDescent="0.25">
      <c r="A495" t="s">
        <v>481</v>
      </c>
      <c r="B495" t="s">
        <v>1125</v>
      </c>
      <c r="C495" t="s">
        <v>1286</v>
      </c>
      <c r="D495" t="s">
        <v>1458</v>
      </c>
      <c r="E495" t="str">
        <f>"32207"</f>
        <v>32207</v>
      </c>
      <c r="F495" t="s">
        <v>1978</v>
      </c>
      <c r="G495" t="str">
        <f>"32244"</f>
        <v>32244</v>
      </c>
    </row>
    <row r="496" spans="1:7" x14ac:dyDescent="0.25">
      <c r="A496" t="s">
        <v>482</v>
      </c>
      <c r="B496" t="s">
        <v>1126</v>
      </c>
      <c r="C496" t="s">
        <v>1286</v>
      </c>
      <c r="D496" t="s">
        <v>1458</v>
      </c>
      <c r="E496" t="str">
        <f>"32233"</f>
        <v>32233</v>
      </c>
      <c r="F496" t="s">
        <v>1979</v>
      </c>
      <c r="G496" t="str">
        <f>"32205"</f>
        <v>32205</v>
      </c>
    </row>
    <row r="497" spans="1:7" x14ac:dyDescent="0.25">
      <c r="A497" t="s">
        <v>483</v>
      </c>
      <c r="B497" t="s">
        <v>1127</v>
      </c>
      <c r="C497" t="s">
        <v>1286</v>
      </c>
      <c r="D497" t="s">
        <v>1458</v>
      </c>
      <c r="E497" t="str">
        <f>"32211"</f>
        <v>32211</v>
      </c>
      <c r="F497" t="s">
        <v>1980</v>
      </c>
      <c r="G497" t="str">
        <f>"32211"</f>
        <v>32211</v>
      </c>
    </row>
    <row r="498" spans="1:7" x14ac:dyDescent="0.25">
      <c r="A498" t="s">
        <v>484</v>
      </c>
      <c r="B498" t="s">
        <v>1128</v>
      </c>
      <c r="C498" t="s">
        <v>1422</v>
      </c>
      <c r="D498" t="s">
        <v>1475</v>
      </c>
      <c r="E498" t="str">
        <f>"82801"</f>
        <v>82801</v>
      </c>
      <c r="F498" t="s">
        <v>1981</v>
      </c>
      <c r="G498" t="str">
        <f>"32211"</f>
        <v>32211</v>
      </c>
    </row>
    <row r="499" spans="1:7" x14ac:dyDescent="0.25">
      <c r="A499" t="s">
        <v>485</v>
      </c>
      <c r="B499" t="s">
        <v>1129</v>
      </c>
      <c r="C499" t="s">
        <v>1286</v>
      </c>
      <c r="D499" t="s">
        <v>1458</v>
      </c>
      <c r="E499" t="str">
        <f>"32205"</f>
        <v>32205</v>
      </c>
      <c r="F499" t="s">
        <v>1982</v>
      </c>
      <c r="G499" t="str">
        <f>"32210"</f>
        <v>32210</v>
      </c>
    </row>
    <row r="500" spans="1:7" x14ac:dyDescent="0.25">
      <c r="A500" t="s">
        <v>486</v>
      </c>
      <c r="B500" t="s">
        <v>1130</v>
      </c>
      <c r="C500" t="s">
        <v>1286</v>
      </c>
      <c r="D500" t="s">
        <v>1458</v>
      </c>
      <c r="E500" t="str">
        <f>"32210"</f>
        <v>32210</v>
      </c>
      <c r="F500" t="s">
        <v>1983</v>
      </c>
      <c r="G500" t="str">
        <f>"32210"</f>
        <v>32210</v>
      </c>
    </row>
    <row r="501" spans="1:7" x14ac:dyDescent="0.25">
      <c r="A501" t="s">
        <v>487</v>
      </c>
      <c r="B501" t="s">
        <v>1131</v>
      </c>
      <c r="C501" t="s">
        <v>1286</v>
      </c>
      <c r="D501" t="s">
        <v>1458</v>
      </c>
      <c r="E501" t="str">
        <f>"32224"</f>
        <v>32224</v>
      </c>
      <c r="F501" t="s">
        <v>1984</v>
      </c>
      <c r="G501" t="str">
        <f>"32225"</f>
        <v>32225</v>
      </c>
    </row>
    <row r="502" spans="1:7" x14ac:dyDescent="0.25">
      <c r="A502" t="s">
        <v>322</v>
      </c>
      <c r="B502" t="s">
        <v>1132</v>
      </c>
      <c r="C502" t="s">
        <v>1286</v>
      </c>
      <c r="D502" t="s">
        <v>1458</v>
      </c>
      <c r="E502" t="str">
        <f>"32256"</f>
        <v>32256</v>
      </c>
      <c r="F502" t="s">
        <v>1985</v>
      </c>
      <c r="G502" t="str">
        <f>"32206"</f>
        <v>32206</v>
      </c>
    </row>
    <row r="503" spans="1:7" x14ac:dyDescent="0.25">
      <c r="A503" t="s">
        <v>488</v>
      </c>
      <c r="B503" t="s">
        <v>1133</v>
      </c>
      <c r="C503" t="s">
        <v>1290</v>
      </c>
      <c r="D503" t="s">
        <v>1458</v>
      </c>
      <c r="E503" t="str">
        <f>"32073"</f>
        <v>32073</v>
      </c>
      <c r="F503" t="s">
        <v>1986</v>
      </c>
      <c r="G503" t="str">
        <f>"32210"</f>
        <v>32210</v>
      </c>
    </row>
    <row r="504" spans="1:7" x14ac:dyDescent="0.25">
      <c r="A504" t="s">
        <v>489</v>
      </c>
      <c r="B504" t="s">
        <v>1134</v>
      </c>
      <c r="C504" t="s">
        <v>1286</v>
      </c>
      <c r="D504" t="s">
        <v>1458</v>
      </c>
      <c r="E504" t="str">
        <f>"32211"</f>
        <v>32211</v>
      </c>
      <c r="F504" t="s">
        <v>1987</v>
      </c>
      <c r="G504" t="str">
        <f>"32211"</f>
        <v>32211</v>
      </c>
    </row>
    <row r="505" spans="1:7" x14ac:dyDescent="0.25">
      <c r="A505" t="s">
        <v>490</v>
      </c>
      <c r="B505" t="s">
        <v>1135</v>
      </c>
      <c r="C505" t="s">
        <v>1286</v>
      </c>
      <c r="D505" t="s">
        <v>1458</v>
      </c>
      <c r="E505" t="str">
        <f>"32205"</f>
        <v>32205</v>
      </c>
      <c r="F505" t="s">
        <v>1988</v>
      </c>
      <c r="G505" t="str">
        <f>"32205"</f>
        <v>32205</v>
      </c>
    </row>
    <row r="506" spans="1:7" x14ac:dyDescent="0.25">
      <c r="A506" t="s">
        <v>491</v>
      </c>
      <c r="B506" t="s">
        <v>1136</v>
      </c>
      <c r="C506" t="s">
        <v>1286</v>
      </c>
      <c r="D506" t="s">
        <v>1458</v>
      </c>
      <c r="E506" t="str">
        <f>"32225"</f>
        <v>32225</v>
      </c>
      <c r="F506" t="s">
        <v>1989</v>
      </c>
      <c r="G506" t="str">
        <f>"32211"</f>
        <v>32211</v>
      </c>
    </row>
    <row r="507" spans="1:7" x14ac:dyDescent="0.25">
      <c r="A507" t="s">
        <v>492</v>
      </c>
      <c r="B507" t="s">
        <v>1137</v>
      </c>
      <c r="C507" t="s">
        <v>1286</v>
      </c>
      <c r="D507" t="s">
        <v>1458</v>
      </c>
      <c r="E507" t="str">
        <f>"32224"</f>
        <v>32224</v>
      </c>
      <c r="F507" t="s">
        <v>1990</v>
      </c>
      <c r="G507" t="str">
        <f>"32216"</f>
        <v>32216</v>
      </c>
    </row>
    <row r="508" spans="1:7" x14ac:dyDescent="0.25">
      <c r="A508" t="s">
        <v>493</v>
      </c>
      <c r="B508" t="s">
        <v>1138</v>
      </c>
      <c r="C508" t="s">
        <v>1307</v>
      </c>
      <c r="D508" t="s">
        <v>1467</v>
      </c>
      <c r="E508" t="str">
        <f>"78746"</f>
        <v>78746</v>
      </c>
      <c r="F508" t="s">
        <v>1991</v>
      </c>
      <c r="G508" t="str">
        <f>"32254"</f>
        <v>32254</v>
      </c>
    </row>
    <row r="509" spans="1:7" x14ac:dyDescent="0.25">
      <c r="A509" t="s">
        <v>494</v>
      </c>
      <c r="B509" t="s">
        <v>1139</v>
      </c>
      <c r="C509" t="s">
        <v>1286</v>
      </c>
      <c r="D509" t="s">
        <v>1458</v>
      </c>
      <c r="E509" t="str">
        <f>"32224"</f>
        <v>32224</v>
      </c>
      <c r="F509" t="s">
        <v>1992</v>
      </c>
      <c r="G509" t="str">
        <f>"32207"</f>
        <v>32207</v>
      </c>
    </row>
    <row r="510" spans="1:7" x14ac:dyDescent="0.25">
      <c r="A510" t="s">
        <v>495</v>
      </c>
      <c r="B510" t="s">
        <v>1140</v>
      </c>
      <c r="C510" t="s">
        <v>1286</v>
      </c>
      <c r="D510" t="s">
        <v>1458</v>
      </c>
      <c r="E510" t="str">
        <f>"32244"</f>
        <v>32244</v>
      </c>
      <c r="F510" t="s">
        <v>1993</v>
      </c>
      <c r="G510" t="str">
        <f>"32217"</f>
        <v>32217</v>
      </c>
    </row>
    <row r="511" spans="1:7" x14ac:dyDescent="0.25">
      <c r="A511" t="s">
        <v>496</v>
      </c>
      <c r="B511" t="s">
        <v>1141</v>
      </c>
      <c r="C511" t="s">
        <v>1286</v>
      </c>
      <c r="D511" t="s">
        <v>1458</v>
      </c>
      <c r="E511" t="str">
        <f>"32221"</f>
        <v>32221</v>
      </c>
      <c r="F511" t="s">
        <v>1994</v>
      </c>
      <c r="G511" t="str">
        <f>"32244"</f>
        <v>32244</v>
      </c>
    </row>
    <row r="512" spans="1:7" x14ac:dyDescent="0.25">
      <c r="A512" t="s">
        <v>497</v>
      </c>
      <c r="B512" t="s">
        <v>1142</v>
      </c>
      <c r="C512" t="s">
        <v>1305</v>
      </c>
      <c r="D512" t="s">
        <v>1458</v>
      </c>
      <c r="E512" t="str">
        <f>"32092"</f>
        <v>32092</v>
      </c>
      <c r="F512" t="s">
        <v>1995</v>
      </c>
      <c r="G512" t="str">
        <f>"32208"</f>
        <v>32208</v>
      </c>
    </row>
    <row r="513" spans="1:7" x14ac:dyDescent="0.25">
      <c r="A513" t="s">
        <v>498</v>
      </c>
      <c r="B513" t="s">
        <v>1143</v>
      </c>
      <c r="C513" t="s">
        <v>1286</v>
      </c>
      <c r="D513" t="s">
        <v>1458</v>
      </c>
      <c r="E513" t="str">
        <f>"32246"</f>
        <v>32246</v>
      </c>
      <c r="F513" t="s">
        <v>1996</v>
      </c>
      <c r="G513" t="str">
        <f>"32210"</f>
        <v>32210</v>
      </c>
    </row>
    <row r="514" spans="1:7" x14ac:dyDescent="0.25">
      <c r="A514" t="s">
        <v>499</v>
      </c>
      <c r="B514" t="s">
        <v>1144</v>
      </c>
      <c r="C514" t="s">
        <v>1286</v>
      </c>
      <c r="D514" t="s">
        <v>1458</v>
      </c>
      <c r="E514" t="str">
        <f>"32246"</f>
        <v>32246</v>
      </c>
      <c r="F514" t="s">
        <v>1997</v>
      </c>
      <c r="G514" t="str">
        <f>"32246"</f>
        <v>32246</v>
      </c>
    </row>
    <row r="515" spans="1:7" x14ac:dyDescent="0.25">
      <c r="A515" t="s">
        <v>500</v>
      </c>
      <c r="B515" t="s">
        <v>1145</v>
      </c>
      <c r="C515" t="s">
        <v>1423</v>
      </c>
      <c r="D515" t="s">
        <v>1463</v>
      </c>
      <c r="E515" t="str">
        <f>"92618"</f>
        <v>92618</v>
      </c>
      <c r="F515" t="s">
        <v>1998</v>
      </c>
      <c r="G515" t="str">
        <f>"32221"</f>
        <v>32221</v>
      </c>
    </row>
    <row r="516" spans="1:7" x14ac:dyDescent="0.25">
      <c r="A516" t="s">
        <v>501</v>
      </c>
      <c r="B516" t="s">
        <v>1146</v>
      </c>
      <c r="C516" t="s">
        <v>1316</v>
      </c>
      <c r="D516" t="s">
        <v>1458</v>
      </c>
      <c r="E516" t="str">
        <f>"32259"</f>
        <v>32259</v>
      </c>
      <c r="F516" t="s">
        <v>1999</v>
      </c>
      <c r="G516" t="str">
        <f>"32244"</f>
        <v>32244</v>
      </c>
    </row>
    <row r="517" spans="1:7" x14ac:dyDescent="0.25">
      <c r="A517" t="s">
        <v>502</v>
      </c>
      <c r="B517" t="s">
        <v>1147</v>
      </c>
      <c r="C517" t="s">
        <v>1286</v>
      </c>
      <c r="D517" t="s">
        <v>1458</v>
      </c>
      <c r="E517" t="str">
        <f>"32258"</f>
        <v>32258</v>
      </c>
      <c r="F517" t="s">
        <v>2000</v>
      </c>
      <c r="G517" t="str">
        <f>"32258"</f>
        <v>32258</v>
      </c>
    </row>
    <row r="518" spans="1:7" x14ac:dyDescent="0.25">
      <c r="A518" t="s">
        <v>503</v>
      </c>
      <c r="B518" t="s">
        <v>1148</v>
      </c>
      <c r="C518" t="s">
        <v>1424</v>
      </c>
      <c r="D518" t="s">
        <v>1467</v>
      </c>
      <c r="E518" t="str">
        <f>"76244"</f>
        <v>76244</v>
      </c>
      <c r="F518" t="s">
        <v>2001</v>
      </c>
      <c r="G518" t="str">
        <f>"32233"</f>
        <v>32233</v>
      </c>
    </row>
    <row r="519" spans="1:7" x14ac:dyDescent="0.25">
      <c r="A519" t="s">
        <v>504</v>
      </c>
      <c r="B519" t="s">
        <v>1149</v>
      </c>
      <c r="C519" t="s">
        <v>1288</v>
      </c>
      <c r="D519" t="s">
        <v>1458</v>
      </c>
      <c r="E519" t="str">
        <f>"32259"</f>
        <v>32259</v>
      </c>
      <c r="F519" t="s">
        <v>2002</v>
      </c>
      <c r="G519" t="str">
        <f>"32217"</f>
        <v>32217</v>
      </c>
    </row>
    <row r="520" spans="1:7" x14ac:dyDescent="0.25">
      <c r="A520" t="s">
        <v>505</v>
      </c>
      <c r="B520" t="s">
        <v>1150</v>
      </c>
      <c r="C520" t="s">
        <v>1425</v>
      </c>
      <c r="D520" t="s">
        <v>1470</v>
      </c>
      <c r="E520" t="str">
        <f>"30034"</f>
        <v>30034</v>
      </c>
      <c r="F520" t="s">
        <v>2003</v>
      </c>
      <c r="G520" t="str">
        <f>"32254"</f>
        <v>32254</v>
      </c>
    </row>
    <row r="521" spans="1:7" x14ac:dyDescent="0.25">
      <c r="A521" t="s">
        <v>506</v>
      </c>
      <c r="B521" t="s">
        <v>1151</v>
      </c>
      <c r="C521" t="s">
        <v>1286</v>
      </c>
      <c r="D521" t="s">
        <v>1458</v>
      </c>
      <c r="E521" t="str">
        <f>"32205"</f>
        <v>32205</v>
      </c>
      <c r="F521" t="s">
        <v>2004</v>
      </c>
      <c r="G521" t="str">
        <f>"32210"</f>
        <v>32210</v>
      </c>
    </row>
    <row r="522" spans="1:7" x14ac:dyDescent="0.25">
      <c r="A522" t="s">
        <v>507</v>
      </c>
      <c r="B522" t="s">
        <v>1152</v>
      </c>
      <c r="C522" t="s">
        <v>1426</v>
      </c>
      <c r="D522" t="s">
        <v>1458</v>
      </c>
      <c r="E522" t="str">
        <f>"33324"</f>
        <v>33324</v>
      </c>
      <c r="F522" t="s">
        <v>2005</v>
      </c>
      <c r="G522" t="str">
        <f>"32205"</f>
        <v>32205</v>
      </c>
    </row>
    <row r="523" spans="1:7" x14ac:dyDescent="0.25">
      <c r="A523" t="s">
        <v>508</v>
      </c>
      <c r="B523" t="s">
        <v>1153</v>
      </c>
      <c r="C523" t="s">
        <v>1286</v>
      </c>
      <c r="D523" t="s">
        <v>1458</v>
      </c>
      <c r="E523" t="str">
        <f>"32244"</f>
        <v>32244</v>
      </c>
      <c r="F523" t="s">
        <v>2006</v>
      </c>
      <c r="G523" t="str">
        <f>"32257"</f>
        <v>32257</v>
      </c>
    </row>
    <row r="524" spans="1:7" x14ac:dyDescent="0.25">
      <c r="A524" t="s">
        <v>509</v>
      </c>
      <c r="B524" t="s">
        <v>1154</v>
      </c>
      <c r="C524" t="s">
        <v>1286</v>
      </c>
      <c r="D524" t="s">
        <v>1458</v>
      </c>
      <c r="E524" t="str">
        <f>"32216"</f>
        <v>32216</v>
      </c>
      <c r="F524" t="s">
        <v>2007</v>
      </c>
      <c r="G524" t="str">
        <f>"32211"</f>
        <v>32211</v>
      </c>
    </row>
    <row r="525" spans="1:7" x14ac:dyDescent="0.25">
      <c r="A525" t="s">
        <v>510</v>
      </c>
      <c r="B525" t="s">
        <v>1155</v>
      </c>
      <c r="C525" t="s">
        <v>1286</v>
      </c>
      <c r="D525" t="s">
        <v>1458</v>
      </c>
      <c r="E525" t="str">
        <f>"32244"</f>
        <v>32244</v>
      </c>
      <c r="F525" t="s">
        <v>2008</v>
      </c>
      <c r="G525" t="str">
        <f>"32244"</f>
        <v>32244</v>
      </c>
    </row>
    <row r="526" spans="1:7" x14ac:dyDescent="0.25">
      <c r="A526" t="s">
        <v>511</v>
      </c>
      <c r="B526" t="s">
        <v>1156</v>
      </c>
      <c r="C526" t="s">
        <v>1427</v>
      </c>
      <c r="D526" t="s">
        <v>1463</v>
      </c>
      <c r="E526" t="str">
        <f>"95127"</f>
        <v>95127</v>
      </c>
      <c r="F526" t="s">
        <v>2009</v>
      </c>
      <c r="G526" t="str">
        <f>"32211"</f>
        <v>32211</v>
      </c>
    </row>
    <row r="527" spans="1:7" x14ac:dyDescent="0.25">
      <c r="A527" t="s">
        <v>512</v>
      </c>
      <c r="B527" t="s">
        <v>1157</v>
      </c>
      <c r="C527" t="s">
        <v>1286</v>
      </c>
      <c r="D527" t="s">
        <v>1458</v>
      </c>
      <c r="E527" t="str">
        <f>"32233"</f>
        <v>32233</v>
      </c>
      <c r="F527" t="s">
        <v>2010</v>
      </c>
      <c r="G527" t="str">
        <f>"32224"</f>
        <v>32224</v>
      </c>
    </row>
    <row r="528" spans="1:7" x14ac:dyDescent="0.25">
      <c r="A528" t="s">
        <v>513</v>
      </c>
      <c r="B528" t="s">
        <v>1158</v>
      </c>
      <c r="C528" t="s">
        <v>1340</v>
      </c>
      <c r="D528" t="s">
        <v>1463</v>
      </c>
      <c r="E528" t="str">
        <f>"92883"</f>
        <v>92883</v>
      </c>
      <c r="F528" t="s">
        <v>2011</v>
      </c>
      <c r="G528" t="str">
        <f>"32244"</f>
        <v>32244</v>
      </c>
    </row>
    <row r="529" spans="1:7" x14ac:dyDescent="0.25">
      <c r="A529" t="s">
        <v>514</v>
      </c>
      <c r="B529" t="s">
        <v>1159</v>
      </c>
      <c r="C529" t="s">
        <v>1428</v>
      </c>
      <c r="D529" t="s">
        <v>1462</v>
      </c>
      <c r="E529" t="str">
        <f>"14221"</f>
        <v>14221</v>
      </c>
      <c r="F529" t="s">
        <v>2012</v>
      </c>
      <c r="G529" t="str">
        <f>"32226"</f>
        <v>32226</v>
      </c>
    </row>
    <row r="530" spans="1:7" x14ac:dyDescent="0.25">
      <c r="A530" t="s">
        <v>515</v>
      </c>
      <c r="B530" t="s">
        <v>1160</v>
      </c>
      <c r="C530" t="s">
        <v>1286</v>
      </c>
      <c r="D530" t="s">
        <v>1458</v>
      </c>
      <c r="E530" t="str">
        <f>"32244"</f>
        <v>32244</v>
      </c>
      <c r="F530" t="s">
        <v>2013</v>
      </c>
      <c r="G530" t="str">
        <f>"32210"</f>
        <v>32210</v>
      </c>
    </row>
    <row r="531" spans="1:7" x14ac:dyDescent="0.25">
      <c r="A531" t="s">
        <v>516</v>
      </c>
      <c r="B531" t="s">
        <v>1161</v>
      </c>
      <c r="C531" t="s">
        <v>1286</v>
      </c>
      <c r="D531" t="s">
        <v>1458</v>
      </c>
      <c r="E531" t="str">
        <f>"32217"</f>
        <v>32217</v>
      </c>
      <c r="F531" t="s">
        <v>2014</v>
      </c>
      <c r="G531" t="str">
        <f>"32246"</f>
        <v>32246</v>
      </c>
    </row>
    <row r="532" spans="1:7" x14ac:dyDescent="0.25">
      <c r="A532" t="s">
        <v>517</v>
      </c>
      <c r="B532" t="s">
        <v>1162</v>
      </c>
      <c r="C532" t="s">
        <v>1290</v>
      </c>
      <c r="D532" t="s">
        <v>1458</v>
      </c>
      <c r="E532" t="str">
        <f>"32065"</f>
        <v>32065</v>
      </c>
      <c r="F532" t="s">
        <v>2015</v>
      </c>
      <c r="G532" t="str">
        <f>"32208"</f>
        <v>32208</v>
      </c>
    </row>
    <row r="533" spans="1:7" x14ac:dyDescent="0.25">
      <c r="A533" t="s">
        <v>198</v>
      </c>
      <c r="B533" t="s">
        <v>1163</v>
      </c>
      <c r="C533" t="s">
        <v>1429</v>
      </c>
      <c r="D533" t="s">
        <v>1458</v>
      </c>
      <c r="E533" t="str">
        <f>"32567"</f>
        <v>32567</v>
      </c>
      <c r="F533" t="s">
        <v>2016</v>
      </c>
      <c r="G533" t="str">
        <f>"32256"</f>
        <v>32256</v>
      </c>
    </row>
    <row r="534" spans="1:7" x14ac:dyDescent="0.25">
      <c r="A534" t="s">
        <v>518</v>
      </c>
      <c r="B534" t="s">
        <v>1164</v>
      </c>
      <c r="C534" t="s">
        <v>1286</v>
      </c>
      <c r="D534" t="s">
        <v>1458</v>
      </c>
      <c r="E534" t="str">
        <f>"32258"</f>
        <v>32258</v>
      </c>
      <c r="F534" t="s">
        <v>2017</v>
      </c>
      <c r="G534" t="str">
        <f>"32208"</f>
        <v>32208</v>
      </c>
    </row>
    <row r="535" spans="1:7" x14ac:dyDescent="0.25">
      <c r="A535" t="s">
        <v>519</v>
      </c>
      <c r="B535" t="s">
        <v>1165</v>
      </c>
      <c r="C535" t="s">
        <v>1430</v>
      </c>
      <c r="D535" t="s">
        <v>1471</v>
      </c>
      <c r="E535" t="str">
        <f>"08520"</f>
        <v>08520</v>
      </c>
      <c r="F535" t="s">
        <v>2018</v>
      </c>
      <c r="G535" t="str">
        <f>"32208"</f>
        <v>32208</v>
      </c>
    </row>
    <row r="536" spans="1:7" x14ac:dyDescent="0.25">
      <c r="A536" t="s">
        <v>247</v>
      </c>
      <c r="B536" t="s">
        <v>1166</v>
      </c>
      <c r="C536" t="s">
        <v>1286</v>
      </c>
      <c r="D536" t="s">
        <v>1458</v>
      </c>
      <c r="E536" t="str">
        <f>"32207"</f>
        <v>32207</v>
      </c>
      <c r="F536" t="s">
        <v>2019</v>
      </c>
      <c r="G536" t="str">
        <f>"32246"</f>
        <v>32246</v>
      </c>
    </row>
    <row r="537" spans="1:7" x14ac:dyDescent="0.25">
      <c r="A537" t="s">
        <v>520</v>
      </c>
      <c r="B537" t="s">
        <v>1167</v>
      </c>
      <c r="C537" t="s">
        <v>1286</v>
      </c>
      <c r="D537" t="s">
        <v>1458</v>
      </c>
      <c r="E537" t="str">
        <f>"32223"</f>
        <v>32223</v>
      </c>
      <c r="F537" t="s">
        <v>2020</v>
      </c>
      <c r="G537" t="str">
        <f>"32209"</f>
        <v>32209</v>
      </c>
    </row>
    <row r="538" spans="1:7" x14ac:dyDescent="0.25">
      <c r="A538" t="s">
        <v>521</v>
      </c>
      <c r="B538" t="s">
        <v>1168</v>
      </c>
      <c r="C538" t="s">
        <v>1286</v>
      </c>
      <c r="D538" t="s">
        <v>1458</v>
      </c>
      <c r="E538" t="str">
        <f>"32219"</f>
        <v>32219</v>
      </c>
      <c r="F538" t="s">
        <v>2021</v>
      </c>
      <c r="G538" t="str">
        <f>"32218"</f>
        <v>32218</v>
      </c>
    </row>
    <row r="539" spans="1:7" x14ac:dyDescent="0.25">
      <c r="A539" t="s">
        <v>522</v>
      </c>
      <c r="B539" t="s">
        <v>1169</v>
      </c>
      <c r="C539" t="s">
        <v>1286</v>
      </c>
      <c r="D539" t="s">
        <v>1458</v>
      </c>
      <c r="E539" t="str">
        <f>"32256"</f>
        <v>32256</v>
      </c>
      <c r="F539" t="s">
        <v>2022</v>
      </c>
      <c r="G539" t="str">
        <f>"32246"</f>
        <v>32246</v>
      </c>
    </row>
    <row r="540" spans="1:7" x14ac:dyDescent="0.25">
      <c r="A540" t="s">
        <v>523</v>
      </c>
      <c r="B540" t="s">
        <v>1170</v>
      </c>
      <c r="C540" t="s">
        <v>1286</v>
      </c>
      <c r="D540" t="s">
        <v>1458</v>
      </c>
      <c r="E540" t="str">
        <f>"32254"</f>
        <v>32254</v>
      </c>
      <c r="F540" t="s">
        <v>2023</v>
      </c>
      <c r="G540" t="str">
        <f>"32254"</f>
        <v>32254</v>
      </c>
    </row>
    <row r="541" spans="1:7" x14ac:dyDescent="0.25">
      <c r="A541" t="s">
        <v>524</v>
      </c>
      <c r="B541" t="s">
        <v>1171</v>
      </c>
      <c r="C541" t="s">
        <v>1290</v>
      </c>
      <c r="D541" t="s">
        <v>1458</v>
      </c>
      <c r="E541" t="str">
        <f>"32073"</f>
        <v>32073</v>
      </c>
      <c r="F541" t="s">
        <v>2024</v>
      </c>
      <c r="G541" t="str">
        <f>"32254"</f>
        <v>32254</v>
      </c>
    </row>
    <row r="542" spans="1:7" x14ac:dyDescent="0.25">
      <c r="A542" t="s">
        <v>525</v>
      </c>
      <c r="B542" t="s">
        <v>1172</v>
      </c>
      <c r="C542" t="s">
        <v>1431</v>
      </c>
      <c r="D542" t="s">
        <v>1458</v>
      </c>
      <c r="E542" t="str">
        <f>"32011"</f>
        <v>32011</v>
      </c>
      <c r="F542" t="s">
        <v>2025</v>
      </c>
      <c r="G542" t="str">
        <f>"32219"</f>
        <v>32219</v>
      </c>
    </row>
    <row r="543" spans="1:7" x14ac:dyDescent="0.25">
      <c r="A543" t="s">
        <v>526</v>
      </c>
      <c r="B543" t="s">
        <v>1173</v>
      </c>
      <c r="C543" t="s">
        <v>1286</v>
      </c>
      <c r="D543" t="s">
        <v>1458</v>
      </c>
      <c r="E543" t="str">
        <f>"32224"</f>
        <v>32224</v>
      </c>
      <c r="F543" t="s">
        <v>2026</v>
      </c>
      <c r="G543" t="str">
        <f>"32211"</f>
        <v>32211</v>
      </c>
    </row>
    <row r="544" spans="1:7" x14ac:dyDescent="0.25">
      <c r="A544" t="s">
        <v>527</v>
      </c>
      <c r="B544" t="s">
        <v>1174</v>
      </c>
      <c r="C544" t="s">
        <v>1286</v>
      </c>
      <c r="D544" t="s">
        <v>1458</v>
      </c>
      <c r="E544" t="str">
        <f>"32256"</f>
        <v>32256</v>
      </c>
      <c r="F544" t="s">
        <v>2027</v>
      </c>
      <c r="G544" t="str">
        <f>"32211"</f>
        <v>32211</v>
      </c>
    </row>
    <row r="545" spans="1:7" x14ac:dyDescent="0.25">
      <c r="A545" t="s">
        <v>528</v>
      </c>
      <c r="B545" t="s">
        <v>1175</v>
      </c>
      <c r="C545" t="s">
        <v>1286</v>
      </c>
      <c r="D545" t="s">
        <v>1458</v>
      </c>
      <c r="E545" t="str">
        <f>"32216"</f>
        <v>32216</v>
      </c>
      <c r="F545" t="s">
        <v>2028</v>
      </c>
      <c r="G545" t="str">
        <f>"32210"</f>
        <v>32210</v>
      </c>
    </row>
    <row r="546" spans="1:7" x14ac:dyDescent="0.25">
      <c r="A546" t="s">
        <v>529</v>
      </c>
      <c r="B546" t="s">
        <v>1176</v>
      </c>
      <c r="C546" t="s">
        <v>1286</v>
      </c>
      <c r="D546" t="s">
        <v>1458</v>
      </c>
      <c r="E546" t="str">
        <f>"32210"</f>
        <v>32210</v>
      </c>
      <c r="F546" t="s">
        <v>2029</v>
      </c>
      <c r="G546" t="str">
        <f>"32209"</f>
        <v>32209</v>
      </c>
    </row>
    <row r="547" spans="1:7" x14ac:dyDescent="0.25">
      <c r="A547" t="s">
        <v>530</v>
      </c>
      <c r="B547" t="s">
        <v>1177</v>
      </c>
      <c r="C547" t="s">
        <v>1432</v>
      </c>
      <c r="D547" t="s">
        <v>1479</v>
      </c>
      <c r="E547" t="str">
        <f>"48103"</f>
        <v>48103</v>
      </c>
      <c r="F547" t="s">
        <v>2030</v>
      </c>
      <c r="G547" t="str">
        <f>"32205"</f>
        <v>32205</v>
      </c>
    </row>
    <row r="548" spans="1:7" x14ac:dyDescent="0.25">
      <c r="A548" t="s">
        <v>531</v>
      </c>
      <c r="B548" t="s">
        <v>1178</v>
      </c>
      <c r="C548" t="s">
        <v>1286</v>
      </c>
      <c r="D548" t="s">
        <v>1458</v>
      </c>
      <c r="E548" t="str">
        <f>"32208"</f>
        <v>32208</v>
      </c>
      <c r="F548" t="s">
        <v>2031</v>
      </c>
      <c r="G548" t="str">
        <f>"32208"</f>
        <v>32208</v>
      </c>
    </row>
    <row r="549" spans="1:7" x14ac:dyDescent="0.25">
      <c r="A549" t="s">
        <v>532</v>
      </c>
      <c r="B549" t="s">
        <v>1179</v>
      </c>
      <c r="C549" t="s">
        <v>1286</v>
      </c>
      <c r="D549" t="s">
        <v>1458</v>
      </c>
      <c r="E549" t="str">
        <f>"32210"</f>
        <v>32210</v>
      </c>
      <c r="F549" t="s">
        <v>2032</v>
      </c>
      <c r="G549" t="str">
        <f>"32210"</f>
        <v>32210</v>
      </c>
    </row>
    <row r="550" spans="1:7" x14ac:dyDescent="0.25">
      <c r="A550" t="s">
        <v>533</v>
      </c>
      <c r="B550" t="s">
        <v>1180</v>
      </c>
      <c r="C550" t="s">
        <v>1286</v>
      </c>
      <c r="D550" t="s">
        <v>1458</v>
      </c>
      <c r="E550" t="str">
        <f>"32246"</f>
        <v>32246</v>
      </c>
      <c r="F550" t="s">
        <v>2033</v>
      </c>
      <c r="G550" t="str">
        <f>"32225"</f>
        <v>32225</v>
      </c>
    </row>
    <row r="551" spans="1:7" x14ac:dyDescent="0.25">
      <c r="A551" t="s">
        <v>534</v>
      </c>
      <c r="B551" t="s">
        <v>1181</v>
      </c>
      <c r="C551" t="s">
        <v>1286</v>
      </c>
      <c r="D551" t="s">
        <v>1458</v>
      </c>
      <c r="E551" t="str">
        <f>"32224"</f>
        <v>32224</v>
      </c>
      <c r="F551" t="s">
        <v>2034</v>
      </c>
      <c r="G551" t="str">
        <f>"32224"</f>
        <v>32224</v>
      </c>
    </row>
    <row r="552" spans="1:7" x14ac:dyDescent="0.25">
      <c r="A552" t="s">
        <v>535</v>
      </c>
      <c r="B552" t="s">
        <v>1182</v>
      </c>
      <c r="C552" t="s">
        <v>1286</v>
      </c>
      <c r="D552" t="s">
        <v>1458</v>
      </c>
      <c r="E552" t="str">
        <f>"32210"</f>
        <v>32210</v>
      </c>
      <c r="F552" t="s">
        <v>2035</v>
      </c>
      <c r="G552" t="str">
        <f>"32205"</f>
        <v>32205</v>
      </c>
    </row>
    <row r="553" spans="1:7" x14ac:dyDescent="0.25">
      <c r="A553" t="s">
        <v>536</v>
      </c>
      <c r="B553" t="s">
        <v>1183</v>
      </c>
      <c r="C553" t="s">
        <v>1286</v>
      </c>
      <c r="D553" t="s">
        <v>1458</v>
      </c>
      <c r="E553" t="str">
        <f>"32221"</f>
        <v>32221</v>
      </c>
      <c r="F553" t="s">
        <v>2036</v>
      </c>
      <c r="G553" t="str">
        <f>"32220"</f>
        <v>32220</v>
      </c>
    </row>
    <row r="554" spans="1:7" x14ac:dyDescent="0.25">
      <c r="A554" t="s">
        <v>537</v>
      </c>
      <c r="B554" t="s">
        <v>1184</v>
      </c>
      <c r="C554" t="s">
        <v>1433</v>
      </c>
      <c r="D554" t="s">
        <v>1458</v>
      </c>
      <c r="E554" t="str">
        <f>"33701"</f>
        <v>33701</v>
      </c>
      <c r="F554" t="s">
        <v>2037</v>
      </c>
      <c r="G554" t="str">
        <f>"32209"</f>
        <v>32209</v>
      </c>
    </row>
    <row r="555" spans="1:7" x14ac:dyDescent="0.25">
      <c r="A555" t="s">
        <v>498</v>
      </c>
      <c r="B555" t="s">
        <v>1185</v>
      </c>
      <c r="C555" t="s">
        <v>1319</v>
      </c>
      <c r="D555" t="s">
        <v>1458</v>
      </c>
      <c r="E555" t="str">
        <f>"33009"</f>
        <v>33009</v>
      </c>
      <c r="F555" t="s">
        <v>2038</v>
      </c>
      <c r="G555" t="str">
        <f>"32277"</f>
        <v>32277</v>
      </c>
    </row>
    <row r="556" spans="1:7" x14ac:dyDescent="0.25">
      <c r="A556" t="s">
        <v>538</v>
      </c>
      <c r="B556" t="s">
        <v>1186</v>
      </c>
      <c r="C556" t="s">
        <v>1286</v>
      </c>
      <c r="D556" t="s">
        <v>1458</v>
      </c>
      <c r="E556" t="str">
        <f>"32256"</f>
        <v>32256</v>
      </c>
      <c r="F556" t="s">
        <v>2039</v>
      </c>
      <c r="G556" t="str">
        <f>"32246"</f>
        <v>32246</v>
      </c>
    </row>
    <row r="557" spans="1:7" x14ac:dyDescent="0.25">
      <c r="A557" t="s">
        <v>539</v>
      </c>
      <c r="B557" t="s">
        <v>1187</v>
      </c>
      <c r="C557" t="s">
        <v>1297</v>
      </c>
      <c r="D557" t="s">
        <v>1458</v>
      </c>
      <c r="E557" t="str">
        <f>"32266"</f>
        <v>32266</v>
      </c>
      <c r="F557" t="s">
        <v>2040</v>
      </c>
      <c r="G557" t="str">
        <f>"32233"</f>
        <v>32233</v>
      </c>
    </row>
    <row r="558" spans="1:7" x14ac:dyDescent="0.25">
      <c r="A558" t="s">
        <v>540</v>
      </c>
      <c r="B558" t="s">
        <v>1188</v>
      </c>
      <c r="C558" t="s">
        <v>1402</v>
      </c>
      <c r="D558" t="s">
        <v>1458</v>
      </c>
      <c r="E558" t="str">
        <f>"32605"</f>
        <v>32605</v>
      </c>
      <c r="F558" t="s">
        <v>2041</v>
      </c>
      <c r="G558" t="str">
        <f>"32207"</f>
        <v>32207</v>
      </c>
    </row>
    <row r="559" spans="1:7" x14ac:dyDescent="0.25">
      <c r="A559" t="s">
        <v>541</v>
      </c>
      <c r="B559" t="s">
        <v>1189</v>
      </c>
      <c r="C559" t="s">
        <v>1286</v>
      </c>
      <c r="D559" t="s">
        <v>1458</v>
      </c>
      <c r="E559" t="str">
        <f>"32246"</f>
        <v>32246</v>
      </c>
      <c r="F559" t="s">
        <v>2042</v>
      </c>
      <c r="G559" t="str">
        <f>"32208"</f>
        <v>32208</v>
      </c>
    </row>
    <row r="560" spans="1:7" x14ac:dyDescent="0.25">
      <c r="A560" t="s">
        <v>542</v>
      </c>
      <c r="B560" t="s">
        <v>1190</v>
      </c>
      <c r="C560" t="s">
        <v>1286</v>
      </c>
      <c r="D560" t="s">
        <v>1458</v>
      </c>
      <c r="E560" t="str">
        <f>"32210"</f>
        <v>32210</v>
      </c>
      <c r="F560" t="s">
        <v>2043</v>
      </c>
      <c r="G560" t="str">
        <f>"32210"</f>
        <v>32210</v>
      </c>
    </row>
    <row r="561" spans="1:7" x14ac:dyDescent="0.25">
      <c r="A561" t="s">
        <v>543</v>
      </c>
      <c r="B561" t="s">
        <v>1191</v>
      </c>
      <c r="C561" t="s">
        <v>1286</v>
      </c>
      <c r="D561" t="s">
        <v>1458</v>
      </c>
      <c r="E561" t="str">
        <f>"32207"</f>
        <v>32207</v>
      </c>
      <c r="F561" t="s">
        <v>2044</v>
      </c>
      <c r="G561" t="str">
        <f>"32207"</f>
        <v>32207</v>
      </c>
    </row>
    <row r="562" spans="1:7" x14ac:dyDescent="0.25">
      <c r="A562" t="s">
        <v>544</v>
      </c>
      <c r="B562" t="s">
        <v>1192</v>
      </c>
      <c r="C562" t="s">
        <v>1434</v>
      </c>
      <c r="D562" t="s">
        <v>1462</v>
      </c>
      <c r="E562" t="str">
        <f>"12701"</f>
        <v>12701</v>
      </c>
      <c r="F562" t="s">
        <v>2045</v>
      </c>
      <c r="G562" t="str">
        <f>"32209"</f>
        <v>32209</v>
      </c>
    </row>
    <row r="563" spans="1:7" x14ac:dyDescent="0.25">
      <c r="A563" t="s">
        <v>545</v>
      </c>
      <c r="B563" t="s">
        <v>1193</v>
      </c>
      <c r="C563" t="s">
        <v>1286</v>
      </c>
      <c r="D563" t="s">
        <v>1458</v>
      </c>
      <c r="E563" t="str">
        <f>"32202"</f>
        <v>32202</v>
      </c>
      <c r="F563" t="s">
        <v>2046</v>
      </c>
      <c r="G563" t="str">
        <f>"32205"</f>
        <v>32205</v>
      </c>
    </row>
    <row r="564" spans="1:7" x14ac:dyDescent="0.25">
      <c r="A564" t="s">
        <v>546</v>
      </c>
      <c r="B564" t="s">
        <v>1194</v>
      </c>
      <c r="C564" t="s">
        <v>1435</v>
      </c>
      <c r="D564" t="s">
        <v>1479</v>
      </c>
      <c r="E564" t="str">
        <f>"48047"</f>
        <v>48047</v>
      </c>
      <c r="F564" t="s">
        <v>2047</v>
      </c>
      <c r="G564" t="str">
        <f>"32244"</f>
        <v>32244</v>
      </c>
    </row>
    <row r="565" spans="1:7" x14ac:dyDescent="0.25">
      <c r="A565" t="s">
        <v>547</v>
      </c>
      <c r="B565" t="s">
        <v>1195</v>
      </c>
      <c r="C565" t="s">
        <v>1286</v>
      </c>
      <c r="D565" t="s">
        <v>1458</v>
      </c>
      <c r="E565" t="str">
        <f>"32246"</f>
        <v>32246</v>
      </c>
      <c r="F565" t="s">
        <v>2048</v>
      </c>
      <c r="G565" t="str">
        <f>"32216"</f>
        <v>32216</v>
      </c>
    </row>
    <row r="566" spans="1:7" x14ac:dyDescent="0.25">
      <c r="A566" t="s">
        <v>548</v>
      </c>
      <c r="B566" t="s">
        <v>1196</v>
      </c>
      <c r="C566" t="s">
        <v>1286</v>
      </c>
      <c r="D566" t="s">
        <v>1458</v>
      </c>
      <c r="E566" t="str">
        <f>"32210"</f>
        <v>32210</v>
      </c>
      <c r="F566" t="s">
        <v>2049</v>
      </c>
      <c r="G566" t="str">
        <f>"32210"</f>
        <v>32210</v>
      </c>
    </row>
    <row r="567" spans="1:7" x14ac:dyDescent="0.25">
      <c r="A567" t="s">
        <v>549</v>
      </c>
      <c r="B567" t="s">
        <v>1197</v>
      </c>
      <c r="C567" t="s">
        <v>1286</v>
      </c>
      <c r="D567" t="s">
        <v>1458</v>
      </c>
      <c r="E567" t="str">
        <f>"32233"</f>
        <v>32233</v>
      </c>
      <c r="F567" t="s">
        <v>2050</v>
      </c>
      <c r="G567" t="str">
        <f>"32233"</f>
        <v>32233</v>
      </c>
    </row>
    <row r="568" spans="1:7" x14ac:dyDescent="0.25">
      <c r="A568" t="s">
        <v>550</v>
      </c>
      <c r="B568" t="s">
        <v>1198</v>
      </c>
      <c r="C568" t="s">
        <v>1286</v>
      </c>
      <c r="D568" t="s">
        <v>1458</v>
      </c>
      <c r="E568" t="str">
        <f>"32224"</f>
        <v>32224</v>
      </c>
      <c r="F568" t="s">
        <v>2051</v>
      </c>
      <c r="G568" t="str">
        <f>"32244"</f>
        <v>32244</v>
      </c>
    </row>
    <row r="569" spans="1:7" x14ac:dyDescent="0.25">
      <c r="A569" t="s">
        <v>551</v>
      </c>
      <c r="B569" t="s">
        <v>1199</v>
      </c>
      <c r="C569" t="s">
        <v>1305</v>
      </c>
      <c r="D569" t="s">
        <v>1458</v>
      </c>
      <c r="E569" t="str">
        <f>"32092"</f>
        <v>32092</v>
      </c>
      <c r="F569" t="s">
        <v>2052</v>
      </c>
      <c r="G569" t="str">
        <f>"32208"</f>
        <v>32208</v>
      </c>
    </row>
    <row r="570" spans="1:7" x14ac:dyDescent="0.25">
      <c r="A570" t="s">
        <v>552</v>
      </c>
      <c r="B570" t="s">
        <v>1200</v>
      </c>
      <c r="C570" t="s">
        <v>1286</v>
      </c>
      <c r="D570" t="s">
        <v>1458</v>
      </c>
      <c r="E570" t="str">
        <f>"32225"</f>
        <v>32225</v>
      </c>
      <c r="F570" t="s">
        <v>2053</v>
      </c>
      <c r="G570" t="str">
        <f>"32211"</f>
        <v>32211</v>
      </c>
    </row>
    <row r="571" spans="1:7" x14ac:dyDescent="0.25">
      <c r="A571" t="s">
        <v>553</v>
      </c>
      <c r="B571" t="s">
        <v>1201</v>
      </c>
      <c r="C571" t="s">
        <v>1286</v>
      </c>
      <c r="D571" t="s">
        <v>1458</v>
      </c>
      <c r="E571" t="str">
        <f>"32225"</f>
        <v>32225</v>
      </c>
      <c r="F571" t="s">
        <v>2054</v>
      </c>
      <c r="G571" t="str">
        <f>"32209"</f>
        <v>32209</v>
      </c>
    </row>
    <row r="572" spans="1:7" x14ac:dyDescent="0.25">
      <c r="A572" t="s">
        <v>554</v>
      </c>
      <c r="B572" t="s">
        <v>1202</v>
      </c>
      <c r="C572" t="s">
        <v>1286</v>
      </c>
      <c r="D572" t="s">
        <v>1458</v>
      </c>
      <c r="E572" t="str">
        <f>"32207"</f>
        <v>32207</v>
      </c>
      <c r="F572" t="s">
        <v>2055</v>
      </c>
      <c r="G572" t="str">
        <f>"32246"</f>
        <v>32246</v>
      </c>
    </row>
    <row r="573" spans="1:7" x14ac:dyDescent="0.25">
      <c r="A573" t="s">
        <v>176</v>
      </c>
      <c r="B573" t="s">
        <v>739</v>
      </c>
      <c r="C573" t="s">
        <v>1304</v>
      </c>
      <c r="D573" t="s">
        <v>1458</v>
      </c>
      <c r="E573" t="str">
        <f>"32803"</f>
        <v>32803</v>
      </c>
      <c r="F573" t="s">
        <v>2056</v>
      </c>
      <c r="G573" t="str">
        <f>"32257"</f>
        <v>32257</v>
      </c>
    </row>
    <row r="574" spans="1:7" x14ac:dyDescent="0.25">
      <c r="A574" t="s">
        <v>555</v>
      </c>
      <c r="B574" t="s">
        <v>1203</v>
      </c>
      <c r="C574" t="s">
        <v>1436</v>
      </c>
      <c r="D574" t="s">
        <v>1465</v>
      </c>
      <c r="E574" t="str">
        <f>"52242"</f>
        <v>52242</v>
      </c>
      <c r="F574" t="s">
        <v>2057</v>
      </c>
      <c r="G574" t="str">
        <f>"32205"</f>
        <v>32205</v>
      </c>
    </row>
    <row r="575" spans="1:7" x14ac:dyDescent="0.25">
      <c r="A575" t="s">
        <v>556</v>
      </c>
      <c r="B575" t="s">
        <v>1204</v>
      </c>
      <c r="C575" t="s">
        <v>1286</v>
      </c>
      <c r="D575" t="s">
        <v>1458</v>
      </c>
      <c r="E575" t="str">
        <f>"32205"</f>
        <v>32205</v>
      </c>
      <c r="F575" t="s">
        <v>2058</v>
      </c>
      <c r="G575" t="str">
        <f>"32244"</f>
        <v>32244</v>
      </c>
    </row>
    <row r="576" spans="1:7" x14ac:dyDescent="0.25">
      <c r="A576" t="s">
        <v>557</v>
      </c>
      <c r="B576" t="s">
        <v>1205</v>
      </c>
      <c r="C576" t="s">
        <v>1364</v>
      </c>
      <c r="D576" t="s">
        <v>1458</v>
      </c>
      <c r="E576" t="str">
        <f>"32304"</f>
        <v>32304</v>
      </c>
      <c r="F576" t="s">
        <v>2059</v>
      </c>
      <c r="G576" t="str">
        <f>"32222"</f>
        <v>32222</v>
      </c>
    </row>
    <row r="577" spans="1:7" x14ac:dyDescent="0.25">
      <c r="A577" t="s">
        <v>558</v>
      </c>
      <c r="B577" t="s">
        <v>1206</v>
      </c>
      <c r="C577" t="s">
        <v>1286</v>
      </c>
      <c r="D577" t="s">
        <v>1458</v>
      </c>
      <c r="E577" t="str">
        <f>"32225"</f>
        <v>32225</v>
      </c>
      <c r="F577" t="s">
        <v>2060</v>
      </c>
      <c r="G577" t="str">
        <f>"32221"</f>
        <v>32221</v>
      </c>
    </row>
    <row r="578" spans="1:7" x14ac:dyDescent="0.25">
      <c r="A578" t="s">
        <v>559</v>
      </c>
      <c r="B578" t="s">
        <v>1207</v>
      </c>
      <c r="C578" t="s">
        <v>1437</v>
      </c>
      <c r="D578" t="s">
        <v>1487</v>
      </c>
      <c r="E578" t="str">
        <f>"19035"</f>
        <v>19035</v>
      </c>
      <c r="F578" t="s">
        <v>2061</v>
      </c>
      <c r="G578" t="str">
        <f>"32210"</f>
        <v>32210</v>
      </c>
    </row>
    <row r="579" spans="1:7" x14ac:dyDescent="0.25">
      <c r="A579" t="s">
        <v>560</v>
      </c>
      <c r="B579" t="s">
        <v>1208</v>
      </c>
      <c r="C579" t="s">
        <v>1286</v>
      </c>
      <c r="D579" t="s">
        <v>1458</v>
      </c>
      <c r="E579" t="str">
        <f>"32218"</f>
        <v>32218</v>
      </c>
      <c r="F579" t="s">
        <v>2062</v>
      </c>
      <c r="G579" t="str">
        <f>"32218"</f>
        <v>32218</v>
      </c>
    </row>
    <row r="580" spans="1:7" x14ac:dyDescent="0.25">
      <c r="A580" t="s">
        <v>561</v>
      </c>
      <c r="B580" t="s">
        <v>1209</v>
      </c>
      <c r="C580" t="s">
        <v>1286</v>
      </c>
      <c r="D580" t="s">
        <v>1458</v>
      </c>
      <c r="E580" t="str">
        <f>"32210"</f>
        <v>32210</v>
      </c>
      <c r="F580" t="s">
        <v>2063</v>
      </c>
      <c r="G580" t="str">
        <f>"32210"</f>
        <v>32210</v>
      </c>
    </row>
    <row r="581" spans="1:7" x14ac:dyDescent="0.25">
      <c r="A581" t="s">
        <v>562</v>
      </c>
      <c r="B581" t="s">
        <v>1210</v>
      </c>
      <c r="C581" t="s">
        <v>1286</v>
      </c>
      <c r="D581" t="s">
        <v>1458</v>
      </c>
      <c r="E581" t="str">
        <f>"32210"</f>
        <v>32210</v>
      </c>
      <c r="F581" t="s">
        <v>2064</v>
      </c>
      <c r="G581" t="str">
        <f>"32210"</f>
        <v>32210</v>
      </c>
    </row>
    <row r="582" spans="1:7" x14ac:dyDescent="0.25">
      <c r="A582" t="s">
        <v>563</v>
      </c>
      <c r="B582" t="s">
        <v>1211</v>
      </c>
      <c r="C582" t="s">
        <v>1286</v>
      </c>
      <c r="D582" t="s">
        <v>1458</v>
      </c>
      <c r="E582" t="str">
        <f>"32256"</f>
        <v>32256</v>
      </c>
      <c r="F582" t="s">
        <v>2065</v>
      </c>
      <c r="G582" t="str">
        <f>"32211"</f>
        <v>32211</v>
      </c>
    </row>
    <row r="583" spans="1:7" x14ac:dyDescent="0.25">
      <c r="A583" t="s">
        <v>564</v>
      </c>
      <c r="B583" t="s">
        <v>1212</v>
      </c>
      <c r="C583" t="s">
        <v>1438</v>
      </c>
      <c r="D583" t="s">
        <v>1458</v>
      </c>
      <c r="E583" t="str">
        <f>"32811"</f>
        <v>32811</v>
      </c>
      <c r="F583" t="s">
        <v>2066</v>
      </c>
      <c r="G583" t="str">
        <f>"32208"</f>
        <v>32208</v>
      </c>
    </row>
    <row r="584" spans="1:7" x14ac:dyDescent="0.25">
      <c r="A584" t="s">
        <v>565</v>
      </c>
      <c r="B584" t="s">
        <v>1213</v>
      </c>
      <c r="C584" t="s">
        <v>1286</v>
      </c>
      <c r="D584" t="s">
        <v>1458</v>
      </c>
      <c r="E584" t="str">
        <f>"32219"</f>
        <v>32219</v>
      </c>
      <c r="F584" t="s">
        <v>2067</v>
      </c>
      <c r="G584" t="str">
        <f>"32210"</f>
        <v>32210</v>
      </c>
    </row>
    <row r="585" spans="1:7" x14ac:dyDescent="0.25">
      <c r="A585" t="s">
        <v>566</v>
      </c>
      <c r="B585" t="s">
        <v>1214</v>
      </c>
      <c r="C585" t="s">
        <v>1439</v>
      </c>
      <c r="D585" t="s">
        <v>1470</v>
      </c>
      <c r="E585" t="str">
        <f>"30328"</f>
        <v>30328</v>
      </c>
      <c r="F585" t="s">
        <v>2068</v>
      </c>
      <c r="G585" t="str">
        <f>"32210"</f>
        <v>32210</v>
      </c>
    </row>
    <row r="586" spans="1:7" x14ac:dyDescent="0.25">
      <c r="A586" t="s">
        <v>567</v>
      </c>
      <c r="B586" t="s">
        <v>1215</v>
      </c>
      <c r="C586" t="s">
        <v>1286</v>
      </c>
      <c r="D586" t="s">
        <v>1458</v>
      </c>
      <c r="E586" t="str">
        <f>"32217"</f>
        <v>32217</v>
      </c>
      <c r="F586" t="s">
        <v>2069</v>
      </c>
      <c r="G586" t="str">
        <f>"32210"</f>
        <v>32210</v>
      </c>
    </row>
    <row r="587" spans="1:7" x14ac:dyDescent="0.25">
      <c r="A587" t="s">
        <v>568</v>
      </c>
      <c r="B587" t="s">
        <v>1216</v>
      </c>
      <c r="C587" t="s">
        <v>1292</v>
      </c>
      <c r="D587" t="s">
        <v>1459</v>
      </c>
      <c r="E587" t="str">
        <f>"85266"</f>
        <v>85266</v>
      </c>
      <c r="F587" t="s">
        <v>2070</v>
      </c>
      <c r="G587" t="str">
        <f>"32208"</f>
        <v>32208</v>
      </c>
    </row>
    <row r="588" spans="1:7" x14ac:dyDescent="0.25">
      <c r="A588" t="s">
        <v>569</v>
      </c>
      <c r="B588" t="s">
        <v>1217</v>
      </c>
      <c r="C588" t="s">
        <v>1440</v>
      </c>
      <c r="D588" t="s">
        <v>1458</v>
      </c>
      <c r="E588" t="str">
        <f>"34607"</f>
        <v>34607</v>
      </c>
      <c r="F588" t="s">
        <v>2071</v>
      </c>
      <c r="G588" t="str">
        <f>"32223"</f>
        <v>32223</v>
      </c>
    </row>
    <row r="589" spans="1:7" x14ac:dyDescent="0.25">
      <c r="A589" t="s">
        <v>570</v>
      </c>
      <c r="B589" t="s">
        <v>1218</v>
      </c>
      <c r="C589" t="s">
        <v>1286</v>
      </c>
      <c r="D589" t="s">
        <v>1458</v>
      </c>
      <c r="E589" t="str">
        <f>"32225"</f>
        <v>32225</v>
      </c>
      <c r="F589" t="s">
        <v>2072</v>
      </c>
      <c r="G589" t="str">
        <f>"32225"</f>
        <v>32225</v>
      </c>
    </row>
    <row r="590" spans="1:7" x14ac:dyDescent="0.25">
      <c r="A590" t="s">
        <v>571</v>
      </c>
      <c r="B590" t="s">
        <v>1219</v>
      </c>
      <c r="C590" t="s">
        <v>1286</v>
      </c>
      <c r="D590" t="s">
        <v>1458</v>
      </c>
      <c r="E590" t="str">
        <f>"32226"</f>
        <v>32226</v>
      </c>
      <c r="F590" t="s">
        <v>2073</v>
      </c>
      <c r="G590" t="str">
        <f>"32244"</f>
        <v>32244</v>
      </c>
    </row>
    <row r="591" spans="1:7" x14ac:dyDescent="0.25">
      <c r="A591" t="s">
        <v>572</v>
      </c>
      <c r="B591" t="s">
        <v>1220</v>
      </c>
      <c r="C591" t="s">
        <v>1286</v>
      </c>
      <c r="D591" t="s">
        <v>1458</v>
      </c>
      <c r="E591" t="str">
        <f>"32218"</f>
        <v>32218</v>
      </c>
      <c r="F591" t="s">
        <v>2074</v>
      </c>
      <c r="G591" t="str">
        <f>"32208"</f>
        <v>32208</v>
      </c>
    </row>
    <row r="592" spans="1:7" x14ac:dyDescent="0.25">
      <c r="A592" t="s">
        <v>573</v>
      </c>
      <c r="B592" t="s">
        <v>1221</v>
      </c>
      <c r="C592" t="s">
        <v>1286</v>
      </c>
      <c r="D592" t="s">
        <v>1458</v>
      </c>
      <c r="E592" t="str">
        <f>"32210"</f>
        <v>32210</v>
      </c>
      <c r="F592" t="s">
        <v>2075</v>
      </c>
      <c r="G592" t="str">
        <f>"32210"</f>
        <v>32210</v>
      </c>
    </row>
    <row r="593" spans="1:7" x14ac:dyDescent="0.25">
      <c r="A593" t="s">
        <v>574</v>
      </c>
      <c r="B593" t="s">
        <v>1222</v>
      </c>
      <c r="C593" t="s">
        <v>1441</v>
      </c>
      <c r="D593" t="s">
        <v>1458</v>
      </c>
      <c r="E593" t="str">
        <f>"34983"</f>
        <v>34983</v>
      </c>
      <c r="F593" t="s">
        <v>2076</v>
      </c>
      <c r="G593" t="str">
        <f>"32218"</f>
        <v>32218</v>
      </c>
    </row>
    <row r="594" spans="1:7" x14ac:dyDescent="0.25">
      <c r="A594" t="s">
        <v>575</v>
      </c>
      <c r="B594" t="s">
        <v>1223</v>
      </c>
      <c r="C594" t="s">
        <v>1442</v>
      </c>
      <c r="D594" t="s">
        <v>1467</v>
      </c>
      <c r="E594" t="str">
        <f>"77346"</f>
        <v>77346</v>
      </c>
      <c r="F594" t="s">
        <v>2077</v>
      </c>
      <c r="G594" t="str">
        <f>"32208"</f>
        <v>32208</v>
      </c>
    </row>
    <row r="595" spans="1:7" x14ac:dyDescent="0.25">
      <c r="A595" t="s">
        <v>576</v>
      </c>
      <c r="B595" t="s">
        <v>1224</v>
      </c>
      <c r="C595" t="s">
        <v>1443</v>
      </c>
      <c r="D595" t="s">
        <v>1464</v>
      </c>
      <c r="E595" t="str">
        <f>"45243"</f>
        <v>45243</v>
      </c>
      <c r="F595" t="s">
        <v>2078</v>
      </c>
      <c r="G595" t="str">
        <f>"32211"</f>
        <v>32211</v>
      </c>
    </row>
    <row r="596" spans="1:7" x14ac:dyDescent="0.25">
      <c r="A596" t="s">
        <v>577</v>
      </c>
      <c r="B596" t="s">
        <v>1225</v>
      </c>
      <c r="C596" t="s">
        <v>1286</v>
      </c>
      <c r="D596" t="s">
        <v>1458</v>
      </c>
      <c r="E596" t="str">
        <f>"32207"</f>
        <v>32207</v>
      </c>
      <c r="F596" t="s">
        <v>2079</v>
      </c>
      <c r="G596" t="str">
        <f>"32207"</f>
        <v>32207</v>
      </c>
    </row>
    <row r="597" spans="1:7" x14ac:dyDescent="0.25">
      <c r="A597" t="s">
        <v>578</v>
      </c>
      <c r="B597" t="s">
        <v>1226</v>
      </c>
      <c r="C597" t="s">
        <v>1301</v>
      </c>
      <c r="D597" t="s">
        <v>1464</v>
      </c>
      <c r="E597" t="str">
        <f>"44145"</f>
        <v>44145</v>
      </c>
      <c r="F597" t="s">
        <v>2080</v>
      </c>
      <c r="G597" t="str">
        <f>"32208"</f>
        <v>32208</v>
      </c>
    </row>
    <row r="598" spans="1:7" x14ac:dyDescent="0.25">
      <c r="A598" t="s">
        <v>579</v>
      </c>
      <c r="B598" t="s">
        <v>1227</v>
      </c>
      <c r="C598" t="s">
        <v>1294</v>
      </c>
      <c r="D598" t="s">
        <v>1458</v>
      </c>
      <c r="E598" t="str">
        <f>"32250"</f>
        <v>32250</v>
      </c>
      <c r="F598" t="s">
        <v>2081</v>
      </c>
      <c r="G598" t="str">
        <f>"32204"</f>
        <v>32204</v>
      </c>
    </row>
    <row r="599" spans="1:7" x14ac:dyDescent="0.25">
      <c r="A599" t="s">
        <v>580</v>
      </c>
      <c r="B599" t="s">
        <v>1228</v>
      </c>
      <c r="C599" t="s">
        <v>1428</v>
      </c>
      <c r="D599" t="s">
        <v>1462</v>
      </c>
      <c r="E599" t="str">
        <f>"14222"</f>
        <v>14222</v>
      </c>
      <c r="F599" t="s">
        <v>2082</v>
      </c>
      <c r="G599" t="str">
        <f>"32254"</f>
        <v>32254</v>
      </c>
    </row>
    <row r="600" spans="1:7" x14ac:dyDescent="0.25">
      <c r="A600" t="s">
        <v>581</v>
      </c>
      <c r="B600" t="s">
        <v>1229</v>
      </c>
      <c r="C600" t="s">
        <v>1286</v>
      </c>
      <c r="D600" t="s">
        <v>1458</v>
      </c>
      <c r="E600" t="str">
        <f>"32220"</f>
        <v>32220</v>
      </c>
      <c r="F600" t="s">
        <v>2083</v>
      </c>
      <c r="G600" t="str">
        <f>"32210"</f>
        <v>32210</v>
      </c>
    </row>
    <row r="601" spans="1:7" x14ac:dyDescent="0.25">
      <c r="A601" t="s">
        <v>200</v>
      </c>
      <c r="B601" t="s">
        <v>1230</v>
      </c>
      <c r="C601" t="s">
        <v>1286</v>
      </c>
      <c r="D601" t="s">
        <v>1458</v>
      </c>
      <c r="E601" t="str">
        <f>"32216"</f>
        <v>32216</v>
      </c>
      <c r="F601" t="s">
        <v>2084</v>
      </c>
      <c r="G601" t="str">
        <f>"32210"</f>
        <v>32210</v>
      </c>
    </row>
    <row r="602" spans="1:7" x14ac:dyDescent="0.25">
      <c r="A602" t="s">
        <v>582</v>
      </c>
      <c r="B602" t="s">
        <v>1231</v>
      </c>
      <c r="C602" t="s">
        <v>1286</v>
      </c>
      <c r="D602" t="s">
        <v>1458</v>
      </c>
      <c r="E602" t="str">
        <f>"32207"</f>
        <v>32207</v>
      </c>
      <c r="F602" t="s">
        <v>2085</v>
      </c>
      <c r="G602" t="str">
        <f>"32207"</f>
        <v>32207</v>
      </c>
    </row>
    <row r="603" spans="1:7" x14ac:dyDescent="0.25">
      <c r="A603" t="s">
        <v>583</v>
      </c>
      <c r="B603" t="s">
        <v>1232</v>
      </c>
      <c r="C603" t="s">
        <v>1286</v>
      </c>
      <c r="D603" t="s">
        <v>1458</v>
      </c>
      <c r="E603" t="str">
        <f>"32216"</f>
        <v>32216</v>
      </c>
      <c r="F603" t="s">
        <v>2086</v>
      </c>
      <c r="G603" t="str">
        <f>"32205"</f>
        <v>32205</v>
      </c>
    </row>
    <row r="604" spans="1:7" x14ac:dyDescent="0.25">
      <c r="A604" t="s">
        <v>584</v>
      </c>
      <c r="B604" t="s">
        <v>1233</v>
      </c>
      <c r="C604" t="s">
        <v>1444</v>
      </c>
      <c r="D604" t="s">
        <v>1459</v>
      </c>
      <c r="E604" t="str">
        <f>"85003"</f>
        <v>85003</v>
      </c>
      <c r="F604" t="s">
        <v>2087</v>
      </c>
      <c r="G604" t="str">
        <f>"32209"</f>
        <v>32209</v>
      </c>
    </row>
    <row r="605" spans="1:7" x14ac:dyDescent="0.25">
      <c r="A605" t="s">
        <v>585</v>
      </c>
      <c r="B605" t="s">
        <v>1234</v>
      </c>
      <c r="C605" t="s">
        <v>1316</v>
      </c>
      <c r="D605" t="s">
        <v>1458</v>
      </c>
      <c r="E605" t="str">
        <f>"32259"</f>
        <v>32259</v>
      </c>
      <c r="F605" t="s">
        <v>2088</v>
      </c>
      <c r="G605" t="str">
        <f>"32223"</f>
        <v>32223</v>
      </c>
    </row>
    <row r="606" spans="1:7" x14ac:dyDescent="0.25">
      <c r="A606" t="s">
        <v>586</v>
      </c>
      <c r="B606" t="s">
        <v>1235</v>
      </c>
      <c r="C606" t="s">
        <v>1427</v>
      </c>
      <c r="D606" t="s">
        <v>1463</v>
      </c>
      <c r="E606" t="str">
        <f>"95129"</f>
        <v>95129</v>
      </c>
      <c r="F606" t="s">
        <v>2089</v>
      </c>
      <c r="G606" t="str">
        <f>"32211"</f>
        <v>32211</v>
      </c>
    </row>
    <row r="607" spans="1:7" x14ac:dyDescent="0.25">
      <c r="A607" t="s">
        <v>587</v>
      </c>
      <c r="B607" t="s">
        <v>1236</v>
      </c>
      <c r="C607" t="s">
        <v>1286</v>
      </c>
      <c r="D607" t="s">
        <v>1458</v>
      </c>
      <c r="E607" t="str">
        <f>"32225"</f>
        <v>32225</v>
      </c>
      <c r="F607" t="s">
        <v>2090</v>
      </c>
      <c r="G607" t="str">
        <f>"32211"</f>
        <v>32211</v>
      </c>
    </row>
    <row r="608" spans="1:7" x14ac:dyDescent="0.25">
      <c r="A608" t="s">
        <v>588</v>
      </c>
      <c r="B608" t="s">
        <v>1237</v>
      </c>
      <c r="C608" t="s">
        <v>1445</v>
      </c>
      <c r="D608" t="s">
        <v>1463</v>
      </c>
      <c r="E608" t="str">
        <f>"90059"</f>
        <v>90059</v>
      </c>
      <c r="F608" t="s">
        <v>2091</v>
      </c>
      <c r="G608" t="str">
        <f>"32208"</f>
        <v>32208</v>
      </c>
    </row>
    <row r="609" spans="1:7" x14ac:dyDescent="0.25">
      <c r="A609" t="s">
        <v>589</v>
      </c>
      <c r="B609" t="s">
        <v>1238</v>
      </c>
      <c r="C609" t="s">
        <v>1446</v>
      </c>
      <c r="D609" t="s">
        <v>1458</v>
      </c>
      <c r="E609" t="str">
        <f>"32503"</f>
        <v>32503</v>
      </c>
      <c r="F609" t="s">
        <v>2092</v>
      </c>
      <c r="G609" t="str">
        <f>"32210"</f>
        <v>32210</v>
      </c>
    </row>
    <row r="610" spans="1:7" x14ac:dyDescent="0.25">
      <c r="A610" t="s">
        <v>590</v>
      </c>
      <c r="B610" t="s">
        <v>1239</v>
      </c>
      <c r="C610" t="s">
        <v>1335</v>
      </c>
      <c r="D610" t="s">
        <v>1463</v>
      </c>
      <c r="E610" t="str">
        <f>"94612"</f>
        <v>94612</v>
      </c>
      <c r="F610" t="s">
        <v>2093</v>
      </c>
      <c r="G610" t="str">
        <f>"32208"</f>
        <v>32208</v>
      </c>
    </row>
    <row r="611" spans="1:7" x14ac:dyDescent="0.25">
      <c r="A611" t="s">
        <v>591</v>
      </c>
      <c r="B611" t="s">
        <v>1240</v>
      </c>
      <c r="C611" t="s">
        <v>1286</v>
      </c>
      <c r="D611" t="s">
        <v>1458</v>
      </c>
      <c r="E611" t="str">
        <f>"32277"</f>
        <v>32277</v>
      </c>
      <c r="F611" t="s">
        <v>2094</v>
      </c>
      <c r="G611" t="str">
        <f>"32211"</f>
        <v>32211</v>
      </c>
    </row>
    <row r="612" spans="1:7" x14ac:dyDescent="0.25">
      <c r="A612" t="s">
        <v>592</v>
      </c>
      <c r="B612" t="s">
        <v>1241</v>
      </c>
      <c r="C612" t="s">
        <v>1286</v>
      </c>
      <c r="D612" t="s">
        <v>1458</v>
      </c>
      <c r="E612" t="str">
        <f>"32207"</f>
        <v>32207</v>
      </c>
      <c r="F612" t="s">
        <v>2095</v>
      </c>
      <c r="G612" t="str">
        <f>"32207"</f>
        <v>32207</v>
      </c>
    </row>
    <row r="613" spans="1:7" x14ac:dyDescent="0.25">
      <c r="A613" t="s">
        <v>593</v>
      </c>
      <c r="B613" t="s">
        <v>1242</v>
      </c>
      <c r="C613" t="s">
        <v>1286</v>
      </c>
      <c r="D613" t="s">
        <v>1458</v>
      </c>
      <c r="E613" t="str">
        <f>"32211"</f>
        <v>32211</v>
      </c>
      <c r="F613" t="s">
        <v>2096</v>
      </c>
      <c r="G613" t="str">
        <f>"32211"</f>
        <v>32211</v>
      </c>
    </row>
    <row r="614" spans="1:7" x14ac:dyDescent="0.25">
      <c r="A614" t="s">
        <v>594</v>
      </c>
      <c r="B614" t="s">
        <v>1243</v>
      </c>
      <c r="C614" t="s">
        <v>1286</v>
      </c>
      <c r="D614" t="s">
        <v>1458</v>
      </c>
      <c r="E614" t="str">
        <f>"32217"</f>
        <v>32217</v>
      </c>
      <c r="F614" t="s">
        <v>2097</v>
      </c>
      <c r="G614" t="str">
        <f>"32208"</f>
        <v>32208</v>
      </c>
    </row>
    <row r="615" spans="1:7" x14ac:dyDescent="0.25">
      <c r="A615" t="s">
        <v>595</v>
      </c>
      <c r="B615" t="s">
        <v>1244</v>
      </c>
      <c r="C615" t="s">
        <v>1290</v>
      </c>
      <c r="D615" t="s">
        <v>1458</v>
      </c>
      <c r="E615" t="str">
        <f>"32065"</f>
        <v>32065</v>
      </c>
      <c r="F615" t="s">
        <v>2098</v>
      </c>
      <c r="G615" t="str">
        <f>"32210"</f>
        <v>32210</v>
      </c>
    </row>
    <row r="616" spans="1:7" x14ac:dyDescent="0.25">
      <c r="A616" t="s">
        <v>596</v>
      </c>
      <c r="B616" t="s">
        <v>1245</v>
      </c>
      <c r="C616" t="s">
        <v>1286</v>
      </c>
      <c r="D616" t="s">
        <v>1458</v>
      </c>
      <c r="E616" t="str">
        <f>"32223"</f>
        <v>32223</v>
      </c>
      <c r="F616" t="s">
        <v>2099</v>
      </c>
      <c r="G616" t="str">
        <f>"32224"</f>
        <v>32224</v>
      </c>
    </row>
    <row r="617" spans="1:7" x14ac:dyDescent="0.25">
      <c r="A617" t="s">
        <v>597</v>
      </c>
      <c r="B617" t="s">
        <v>1246</v>
      </c>
      <c r="C617" t="s">
        <v>1290</v>
      </c>
      <c r="D617" t="s">
        <v>1458</v>
      </c>
      <c r="E617" t="str">
        <f>"32073"</f>
        <v>32073</v>
      </c>
      <c r="F617" t="s">
        <v>2100</v>
      </c>
      <c r="G617" t="str">
        <f>"32210"</f>
        <v>32210</v>
      </c>
    </row>
    <row r="618" spans="1:7" x14ac:dyDescent="0.25">
      <c r="A618" t="s">
        <v>598</v>
      </c>
      <c r="B618" t="s">
        <v>1247</v>
      </c>
      <c r="C618" t="s">
        <v>1447</v>
      </c>
      <c r="D618" t="s">
        <v>1458</v>
      </c>
      <c r="E618" t="str">
        <f>"32839"</f>
        <v>32839</v>
      </c>
      <c r="F618" t="s">
        <v>2101</v>
      </c>
      <c r="G618" t="str">
        <f>"32254"</f>
        <v>32254</v>
      </c>
    </row>
    <row r="619" spans="1:7" x14ac:dyDescent="0.25">
      <c r="A619" t="s">
        <v>599</v>
      </c>
      <c r="B619" t="s">
        <v>1248</v>
      </c>
      <c r="C619" t="s">
        <v>1286</v>
      </c>
      <c r="D619" t="s">
        <v>1458</v>
      </c>
      <c r="E619" t="str">
        <f>"32258"</f>
        <v>32258</v>
      </c>
      <c r="F619" t="s">
        <v>2102</v>
      </c>
      <c r="G619" t="str">
        <f>"32244"</f>
        <v>32244</v>
      </c>
    </row>
    <row r="620" spans="1:7" x14ac:dyDescent="0.25">
      <c r="A620" t="s">
        <v>600</v>
      </c>
      <c r="B620" t="s">
        <v>1249</v>
      </c>
      <c r="C620" t="s">
        <v>1448</v>
      </c>
      <c r="D620" t="s">
        <v>1462</v>
      </c>
      <c r="E620" t="str">
        <f>"11691"</f>
        <v>11691</v>
      </c>
      <c r="F620" t="s">
        <v>2103</v>
      </c>
      <c r="G620" t="str">
        <f>"32208"</f>
        <v>32208</v>
      </c>
    </row>
    <row r="621" spans="1:7" x14ac:dyDescent="0.25">
      <c r="A621" t="s">
        <v>601</v>
      </c>
      <c r="B621" t="s">
        <v>1250</v>
      </c>
      <c r="C621" t="s">
        <v>1290</v>
      </c>
      <c r="D621" t="s">
        <v>1458</v>
      </c>
      <c r="E621" t="str">
        <f>"32073"</f>
        <v>32073</v>
      </c>
      <c r="F621" t="s">
        <v>2104</v>
      </c>
      <c r="G621" t="str">
        <f>"32244"</f>
        <v>32244</v>
      </c>
    </row>
    <row r="622" spans="1:7" x14ac:dyDescent="0.25">
      <c r="A622" t="s">
        <v>602</v>
      </c>
      <c r="B622" t="s">
        <v>1251</v>
      </c>
      <c r="C622" t="s">
        <v>1297</v>
      </c>
      <c r="D622" t="s">
        <v>1458</v>
      </c>
      <c r="E622" t="str">
        <f>"32266"</f>
        <v>32266</v>
      </c>
      <c r="F622" t="s">
        <v>2105</v>
      </c>
      <c r="G622" t="str">
        <f>"32233"</f>
        <v>32233</v>
      </c>
    </row>
    <row r="623" spans="1:7" x14ac:dyDescent="0.25">
      <c r="A623" t="s">
        <v>603</v>
      </c>
      <c r="B623" t="s">
        <v>1252</v>
      </c>
      <c r="C623" t="s">
        <v>1357</v>
      </c>
      <c r="D623" t="s">
        <v>1466</v>
      </c>
      <c r="E623" t="str">
        <f>"60660"</f>
        <v>60660</v>
      </c>
      <c r="F623" t="s">
        <v>2106</v>
      </c>
      <c r="G623" t="str">
        <f>"32208"</f>
        <v>32208</v>
      </c>
    </row>
    <row r="624" spans="1:7" x14ac:dyDescent="0.25">
      <c r="A624" t="s">
        <v>604</v>
      </c>
      <c r="B624" t="s">
        <v>1253</v>
      </c>
      <c r="C624" t="s">
        <v>1286</v>
      </c>
      <c r="D624" t="s">
        <v>1458</v>
      </c>
      <c r="E624" t="str">
        <f>"32256"</f>
        <v>32256</v>
      </c>
      <c r="F624" t="s">
        <v>2107</v>
      </c>
      <c r="G624" t="str">
        <f>"32246"</f>
        <v>32246</v>
      </c>
    </row>
    <row r="625" spans="1:7" x14ac:dyDescent="0.25">
      <c r="A625" t="s">
        <v>605</v>
      </c>
      <c r="B625" t="s">
        <v>1254</v>
      </c>
      <c r="C625" t="s">
        <v>1286</v>
      </c>
      <c r="D625" t="s">
        <v>1458</v>
      </c>
      <c r="E625" t="str">
        <f>"32256"</f>
        <v>32256</v>
      </c>
      <c r="F625" t="s">
        <v>2108</v>
      </c>
      <c r="G625" t="str">
        <f>"32221"</f>
        <v>32221</v>
      </c>
    </row>
    <row r="626" spans="1:7" x14ac:dyDescent="0.25">
      <c r="A626" t="s">
        <v>606</v>
      </c>
      <c r="B626" t="s">
        <v>1255</v>
      </c>
      <c r="C626" t="s">
        <v>1286</v>
      </c>
      <c r="D626" t="s">
        <v>1458</v>
      </c>
      <c r="E626" t="str">
        <f>"32256"</f>
        <v>32256</v>
      </c>
      <c r="F626" t="s">
        <v>2109</v>
      </c>
      <c r="G626" t="str">
        <f>"32210"</f>
        <v>32210</v>
      </c>
    </row>
    <row r="627" spans="1:7" x14ac:dyDescent="0.25">
      <c r="A627" t="s">
        <v>607</v>
      </c>
      <c r="B627" t="s">
        <v>1256</v>
      </c>
      <c r="C627" t="s">
        <v>1449</v>
      </c>
      <c r="D627" t="s">
        <v>1462</v>
      </c>
      <c r="E627" t="str">
        <f>"10952"</f>
        <v>10952</v>
      </c>
      <c r="F627" t="s">
        <v>2110</v>
      </c>
      <c r="G627" t="str">
        <f>"32222"</f>
        <v>32222</v>
      </c>
    </row>
    <row r="628" spans="1:7" x14ac:dyDescent="0.25">
      <c r="A628" t="s">
        <v>608</v>
      </c>
      <c r="B628" t="s">
        <v>1257</v>
      </c>
      <c r="C628" t="s">
        <v>1450</v>
      </c>
      <c r="D628" t="s">
        <v>1458</v>
      </c>
      <c r="E628" t="str">
        <f>"33160"</f>
        <v>33160</v>
      </c>
      <c r="F628" t="s">
        <v>2111</v>
      </c>
      <c r="G628" t="str">
        <f>"32210"</f>
        <v>32210</v>
      </c>
    </row>
    <row r="629" spans="1:7" x14ac:dyDescent="0.25">
      <c r="A629" t="s">
        <v>609</v>
      </c>
      <c r="B629" t="s">
        <v>1258</v>
      </c>
      <c r="C629" t="s">
        <v>1327</v>
      </c>
      <c r="D629" t="s">
        <v>1458</v>
      </c>
      <c r="E629" t="str">
        <f>"32068"</f>
        <v>32068</v>
      </c>
      <c r="F629" t="s">
        <v>2112</v>
      </c>
      <c r="G629" t="str">
        <f>"32223"</f>
        <v>32223</v>
      </c>
    </row>
    <row r="630" spans="1:7" x14ac:dyDescent="0.25">
      <c r="A630" t="s">
        <v>268</v>
      </c>
      <c r="B630" t="s">
        <v>1259</v>
      </c>
      <c r="C630" t="s">
        <v>1296</v>
      </c>
      <c r="D630" t="s">
        <v>1458</v>
      </c>
      <c r="E630" t="str">
        <f>"33131"</f>
        <v>33131</v>
      </c>
      <c r="F630" t="s">
        <v>2113</v>
      </c>
      <c r="G630" t="str">
        <f>"32254"</f>
        <v>32254</v>
      </c>
    </row>
    <row r="631" spans="1:7" x14ac:dyDescent="0.25">
      <c r="A631" t="s">
        <v>610</v>
      </c>
      <c r="B631" t="s">
        <v>1260</v>
      </c>
      <c r="C631" t="s">
        <v>1286</v>
      </c>
      <c r="D631" t="s">
        <v>1458</v>
      </c>
      <c r="E631" t="str">
        <f>"32207"</f>
        <v>32207</v>
      </c>
      <c r="F631" t="s">
        <v>2114</v>
      </c>
      <c r="G631" t="str">
        <f>"32207"</f>
        <v>32207</v>
      </c>
    </row>
    <row r="632" spans="1:7" x14ac:dyDescent="0.25">
      <c r="A632" t="s">
        <v>611</v>
      </c>
      <c r="B632" t="s">
        <v>1261</v>
      </c>
      <c r="C632" t="s">
        <v>1286</v>
      </c>
      <c r="D632" t="s">
        <v>1458</v>
      </c>
      <c r="E632" t="str">
        <f>"32218"</f>
        <v>32218</v>
      </c>
      <c r="F632" t="s">
        <v>2115</v>
      </c>
      <c r="G632" t="str">
        <f>"32209"</f>
        <v>32209</v>
      </c>
    </row>
    <row r="633" spans="1:7" x14ac:dyDescent="0.25">
      <c r="A633" t="s">
        <v>612</v>
      </c>
      <c r="B633" t="s">
        <v>1262</v>
      </c>
      <c r="C633" t="s">
        <v>1451</v>
      </c>
      <c r="D633" t="s">
        <v>1458</v>
      </c>
      <c r="E633" t="str">
        <f>"32750"</f>
        <v>32750</v>
      </c>
      <c r="F633" t="s">
        <v>2116</v>
      </c>
      <c r="G633" t="str">
        <f>"32254"</f>
        <v>32254</v>
      </c>
    </row>
    <row r="634" spans="1:7" x14ac:dyDescent="0.25">
      <c r="A634" t="s">
        <v>613</v>
      </c>
      <c r="B634" t="s">
        <v>1263</v>
      </c>
      <c r="C634" t="s">
        <v>1286</v>
      </c>
      <c r="D634" t="s">
        <v>1458</v>
      </c>
      <c r="E634" t="str">
        <f>"32244"</f>
        <v>32244</v>
      </c>
      <c r="F634" t="s">
        <v>2117</v>
      </c>
      <c r="G634" t="str">
        <f>"32221"</f>
        <v>32221</v>
      </c>
    </row>
    <row r="635" spans="1:7" x14ac:dyDescent="0.25">
      <c r="A635" t="s">
        <v>614</v>
      </c>
      <c r="B635" t="s">
        <v>1264</v>
      </c>
      <c r="C635" t="s">
        <v>1296</v>
      </c>
      <c r="D635" t="s">
        <v>1458</v>
      </c>
      <c r="E635" t="str">
        <f>"33131"</f>
        <v>33131</v>
      </c>
      <c r="F635" t="s">
        <v>2118</v>
      </c>
      <c r="G635" t="str">
        <f>"32254"</f>
        <v>32254</v>
      </c>
    </row>
    <row r="636" spans="1:7" x14ac:dyDescent="0.25">
      <c r="A636" t="s">
        <v>615</v>
      </c>
      <c r="B636" t="s">
        <v>1185</v>
      </c>
      <c r="C636" t="s">
        <v>1452</v>
      </c>
      <c r="D636" t="s">
        <v>1458</v>
      </c>
      <c r="E636" t="str">
        <f>"34990"</f>
        <v>34990</v>
      </c>
      <c r="F636" t="s">
        <v>2119</v>
      </c>
      <c r="G636" t="str">
        <f>"32244"</f>
        <v>32244</v>
      </c>
    </row>
    <row r="637" spans="1:7" x14ac:dyDescent="0.25">
      <c r="A637" t="s">
        <v>616</v>
      </c>
      <c r="B637" t="s">
        <v>1265</v>
      </c>
      <c r="C637" t="s">
        <v>1286</v>
      </c>
      <c r="D637" t="s">
        <v>1458</v>
      </c>
      <c r="E637" t="str">
        <f>"32218"</f>
        <v>32218</v>
      </c>
      <c r="F637" t="s">
        <v>1265</v>
      </c>
      <c r="G637" t="str">
        <f>"32218"</f>
        <v>32218</v>
      </c>
    </row>
    <row r="638" spans="1:7" x14ac:dyDescent="0.25">
      <c r="A638" t="s">
        <v>617</v>
      </c>
      <c r="B638" t="s">
        <v>1266</v>
      </c>
      <c r="C638" t="s">
        <v>1286</v>
      </c>
      <c r="D638" t="s">
        <v>1458</v>
      </c>
      <c r="E638" t="str">
        <f>"32207"</f>
        <v>32207</v>
      </c>
      <c r="F638" t="s">
        <v>2120</v>
      </c>
      <c r="G638" t="str">
        <f>"32216"</f>
        <v>32216</v>
      </c>
    </row>
    <row r="639" spans="1:7" x14ac:dyDescent="0.25">
      <c r="A639" t="s">
        <v>327</v>
      </c>
      <c r="B639" t="s">
        <v>1267</v>
      </c>
      <c r="C639" t="s">
        <v>1390</v>
      </c>
      <c r="D639" t="s">
        <v>1483</v>
      </c>
      <c r="E639" t="str">
        <f>"87110"</f>
        <v>87110</v>
      </c>
      <c r="F639" t="s">
        <v>2121</v>
      </c>
      <c r="G639" t="str">
        <f>"32254"</f>
        <v>32254</v>
      </c>
    </row>
    <row r="640" spans="1:7" x14ac:dyDescent="0.25">
      <c r="A640" t="s">
        <v>618</v>
      </c>
      <c r="B640" t="s">
        <v>1268</v>
      </c>
      <c r="C640" t="s">
        <v>1286</v>
      </c>
      <c r="D640" t="s">
        <v>1458</v>
      </c>
      <c r="E640" t="str">
        <f>"32257"</f>
        <v>32257</v>
      </c>
      <c r="F640" t="s">
        <v>2122</v>
      </c>
      <c r="G640" t="str">
        <f>"32211"</f>
        <v>32211</v>
      </c>
    </row>
    <row r="641" spans="1:7" x14ac:dyDescent="0.25">
      <c r="A641" t="s">
        <v>400</v>
      </c>
      <c r="B641" t="s">
        <v>1269</v>
      </c>
      <c r="C641" t="s">
        <v>1299</v>
      </c>
      <c r="D641" t="s">
        <v>1462</v>
      </c>
      <c r="E641" t="str">
        <f>"10010"</f>
        <v>10010</v>
      </c>
      <c r="F641" t="s">
        <v>2123</v>
      </c>
      <c r="G641" t="str">
        <f>"32205"</f>
        <v>32205</v>
      </c>
    </row>
    <row r="642" spans="1:7" x14ac:dyDescent="0.25">
      <c r="A642" t="s">
        <v>619</v>
      </c>
      <c r="B642" t="s">
        <v>1270</v>
      </c>
      <c r="C642" t="s">
        <v>1420</v>
      </c>
      <c r="D642" t="s">
        <v>1474</v>
      </c>
      <c r="E642" t="str">
        <f>"22191"</f>
        <v>22191</v>
      </c>
      <c r="F642" t="s">
        <v>2124</v>
      </c>
      <c r="G642" t="str">
        <f>"32207"</f>
        <v>32207</v>
      </c>
    </row>
    <row r="643" spans="1:7" x14ac:dyDescent="0.25">
      <c r="A643" t="s">
        <v>620</v>
      </c>
      <c r="B643" t="s">
        <v>1271</v>
      </c>
      <c r="C643" t="s">
        <v>1453</v>
      </c>
      <c r="D643" t="s">
        <v>1470</v>
      </c>
      <c r="E643" t="str">
        <f>"30019"</f>
        <v>30019</v>
      </c>
      <c r="F643" t="s">
        <v>2125</v>
      </c>
      <c r="G643" t="str">
        <f>"32208"</f>
        <v>32208</v>
      </c>
    </row>
    <row r="644" spans="1:7" x14ac:dyDescent="0.25">
      <c r="A644" t="s">
        <v>124</v>
      </c>
      <c r="B644" t="s">
        <v>1272</v>
      </c>
      <c r="C644" t="s">
        <v>1439</v>
      </c>
      <c r="D644" t="s">
        <v>1470</v>
      </c>
      <c r="E644" t="str">
        <f>"30303"</f>
        <v>30303</v>
      </c>
      <c r="F644" t="s">
        <v>2126</v>
      </c>
      <c r="G644" t="str">
        <f>"32205"</f>
        <v>32205</v>
      </c>
    </row>
    <row r="645" spans="1:7" x14ac:dyDescent="0.25">
      <c r="A645" t="s">
        <v>621</v>
      </c>
      <c r="B645" t="s">
        <v>1273</v>
      </c>
      <c r="C645" t="s">
        <v>1454</v>
      </c>
      <c r="D645" t="s">
        <v>1488</v>
      </c>
      <c r="E645" t="str">
        <f>"98671"</f>
        <v>98671</v>
      </c>
      <c r="F645" t="s">
        <v>2127</v>
      </c>
      <c r="G645" t="str">
        <f>"32206"</f>
        <v>32206</v>
      </c>
    </row>
    <row r="646" spans="1:7" x14ac:dyDescent="0.25">
      <c r="A646" t="s">
        <v>622</v>
      </c>
      <c r="B646" t="s">
        <v>1274</v>
      </c>
      <c r="C646" t="s">
        <v>1286</v>
      </c>
      <c r="D646" t="s">
        <v>1458</v>
      </c>
      <c r="E646" t="str">
        <f>"32218"</f>
        <v>32218</v>
      </c>
      <c r="F646" t="s">
        <v>2128</v>
      </c>
      <c r="G646" t="str">
        <f>"32218"</f>
        <v>32218</v>
      </c>
    </row>
    <row r="647" spans="1:7" x14ac:dyDescent="0.25">
      <c r="A647" t="s">
        <v>623</v>
      </c>
      <c r="B647" t="s">
        <v>1275</v>
      </c>
      <c r="C647" t="s">
        <v>1286</v>
      </c>
      <c r="D647" t="s">
        <v>1458</v>
      </c>
      <c r="E647" t="str">
        <f>"32209"</f>
        <v>32209</v>
      </c>
      <c r="F647" t="s">
        <v>2129</v>
      </c>
      <c r="G647" t="str">
        <f>"32218"</f>
        <v>32218</v>
      </c>
    </row>
    <row r="648" spans="1:7" x14ac:dyDescent="0.25">
      <c r="A648" t="s">
        <v>624</v>
      </c>
      <c r="B648" t="s">
        <v>1276</v>
      </c>
      <c r="C648" t="s">
        <v>1286</v>
      </c>
      <c r="D648" t="s">
        <v>1458</v>
      </c>
      <c r="E648" t="str">
        <f>"32225"</f>
        <v>32225</v>
      </c>
      <c r="F648" t="s">
        <v>2130</v>
      </c>
      <c r="G648" t="str">
        <f>"32211"</f>
        <v>32211</v>
      </c>
    </row>
    <row r="649" spans="1:7" x14ac:dyDescent="0.25">
      <c r="A649" t="s">
        <v>625</v>
      </c>
      <c r="B649" t="s">
        <v>1277</v>
      </c>
      <c r="C649" t="s">
        <v>1286</v>
      </c>
      <c r="D649" t="s">
        <v>1458</v>
      </c>
      <c r="E649" t="str">
        <f>"32250"</f>
        <v>32250</v>
      </c>
      <c r="F649" t="s">
        <v>2131</v>
      </c>
      <c r="G649" t="str">
        <f>"32209"</f>
        <v>32209</v>
      </c>
    </row>
    <row r="650" spans="1:7" x14ac:dyDescent="0.25">
      <c r="A650" t="s">
        <v>626</v>
      </c>
      <c r="B650" t="s">
        <v>1278</v>
      </c>
      <c r="C650" t="s">
        <v>1286</v>
      </c>
      <c r="D650" t="s">
        <v>1458</v>
      </c>
      <c r="E650" t="str">
        <f>"32226"</f>
        <v>32226</v>
      </c>
      <c r="F650" t="s">
        <v>2132</v>
      </c>
      <c r="G650" t="str">
        <f>"32211"</f>
        <v>32211</v>
      </c>
    </row>
    <row r="651" spans="1:7" x14ac:dyDescent="0.25">
      <c r="A651" t="s">
        <v>627</v>
      </c>
      <c r="B651" t="s">
        <v>1279</v>
      </c>
      <c r="C651" t="s">
        <v>1286</v>
      </c>
      <c r="D651" t="s">
        <v>1458</v>
      </c>
      <c r="E651" t="str">
        <f>"32204"</f>
        <v>32204</v>
      </c>
      <c r="F651" t="s">
        <v>2133</v>
      </c>
      <c r="G651" t="str">
        <f>"32204"</f>
        <v>32204</v>
      </c>
    </row>
    <row r="652" spans="1:7" x14ac:dyDescent="0.25">
      <c r="A652" t="s">
        <v>628</v>
      </c>
      <c r="B652" t="s">
        <v>1280</v>
      </c>
      <c r="C652" t="s">
        <v>1286</v>
      </c>
      <c r="D652" t="s">
        <v>1458</v>
      </c>
      <c r="E652" t="str">
        <f>"32220"</f>
        <v>32220</v>
      </c>
      <c r="F652" t="s">
        <v>2134</v>
      </c>
      <c r="G652" t="str">
        <f>"32220"</f>
        <v>32220</v>
      </c>
    </row>
    <row r="653" spans="1:7" x14ac:dyDescent="0.25">
      <c r="A653" t="s">
        <v>629</v>
      </c>
      <c r="B653" t="s">
        <v>1281</v>
      </c>
      <c r="C653" t="s">
        <v>1455</v>
      </c>
      <c r="D653" t="s">
        <v>1473</v>
      </c>
      <c r="E653" t="str">
        <f>"19805"</f>
        <v>19805</v>
      </c>
      <c r="F653" t="s">
        <v>2135</v>
      </c>
      <c r="G653" t="str">
        <f>"32210"</f>
        <v>32210</v>
      </c>
    </row>
    <row r="654" spans="1:7" x14ac:dyDescent="0.25">
      <c r="A654" t="s">
        <v>630</v>
      </c>
      <c r="B654" t="s">
        <v>1282</v>
      </c>
      <c r="C654" t="s">
        <v>1456</v>
      </c>
      <c r="D654" t="s">
        <v>1458</v>
      </c>
      <c r="E654" t="str">
        <f>"33162"</f>
        <v>33162</v>
      </c>
      <c r="F654" t="s">
        <v>2136</v>
      </c>
      <c r="G654" t="str">
        <f>"32209"</f>
        <v>32209</v>
      </c>
    </row>
    <row r="655" spans="1:7" x14ac:dyDescent="0.25">
      <c r="A655" t="s">
        <v>631</v>
      </c>
      <c r="B655" t="s">
        <v>1283</v>
      </c>
      <c r="C655" t="s">
        <v>1286</v>
      </c>
      <c r="D655" t="s">
        <v>1458</v>
      </c>
      <c r="E655" t="str">
        <f>"32256"</f>
        <v>32256</v>
      </c>
      <c r="F655" t="s">
        <v>2137</v>
      </c>
      <c r="G655" t="str">
        <f>"32208"</f>
        <v>32208</v>
      </c>
    </row>
    <row r="656" spans="1:7" x14ac:dyDescent="0.25">
      <c r="A656" t="s">
        <v>632</v>
      </c>
      <c r="B656" t="s">
        <v>1284</v>
      </c>
      <c r="C656" t="s">
        <v>1286</v>
      </c>
      <c r="D656" t="s">
        <v>1458</v>
      </c>
      <c r="E656" t="str">
        <f>"32218"</f>
        <v>32218</v>
      </c>
      <c r="F656" t="s">
        <v>2138</v>
      </c>
      <c r="G656" t="str">
        <f>"32218"</f>
        <v>32218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</dc:creator>
  <cp:lastModifiedBy>justi</cp:lastModifiedBy>
  <dcterms:created xsi:type="dcterms:W3CDTF">2019-03-04T23:59:42Z</dcterms:created>
  <dcterms:modified xsi:type="dcterms:W3CDTF">2019-03-11T19:24:06Z</dcterms:modified>
</cp:coreProperties>
</file>